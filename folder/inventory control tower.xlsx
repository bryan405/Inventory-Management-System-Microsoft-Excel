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15b8c82b26b3d95/Escritorio/ASUS/power query/"/>
    </mc:Choice>
  </mc:AlternateContent>
  <xr:revisionPtr revIDLastSave="5202" documentId="8_{8466FA14-B007-4329-A9B1-B172CBFE8259}" xr6:coauthVersionLast="47" xr6:coauthVersionMax="47" xr10:uidLastSave="{F2ADFBF9-749A-4FCF-94B9-B74617346A6E}"/>
  <bookViews>
    <workbookView xWindow="-108" yWindow="-108" windowWidth="23256" windowHeight="12456" activeTab="4" xr2:uid="{23EA6E54-EA00-4B2A-9AF6-54BDAD624AA2}"/>
  </bookViews>
  <sheets>
    <sheet name="Dashboard" sheetId="1" r:id="rId1"/>
    <sheet name="Inventory" sheetId="2" r:id="rId2"/>
    <sheet name="Purchase" sheetId="3" r:id="rId3"/>
    <sheet name="Sales" sheetId="4" r:id="rId4"/>
    <sheet name="Suppliers" sheetId="5" r:id="rId5"/>
    <sheet name="pivot" sheetId="8" state="hidden" r:id="rId6"/>
  </sheets>
  <definedNames>
    <definedName name="Slicer_Month">#N/A</definedName>
    <definedName name="Slicer_Month1">#N/A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6" i="4" l="1"/>
  <c r="E37" i="4"/>
  <c r="I37" i="4"/>
  <c r="K36" i="4"/>
  <c r="K37" i="4"/>
  <c r="L36" i="4"/>
  <c r="L37" i="4"/>
  <c r="K35" i="4"/>
  <c r="K34" i="4"/>
  <c r="K32" i="4"/>
  <c r="K33" i="4"/>
  <c r="K7" i="4"/>
  <c r="H33" i="2"/>
  <c r="N33" i="2" s="1"/>
  <c r="H32" i="2"/>
  <c r="N32" i="2" s="1"/>
  <c r="H31" i="2"/>
  <c r="N31" i="2" s="1"/>
  <c r="H30" i="2"/>
  <c r="N30" i="2" s="1"/>
  <c r="H29" i="2"/>
  <c r="O26" i="2" a="1"/>
  <c r="O26" i="2" s="1"/>
  <c r="P26" i="2" s="1"/>
  <c r="O27" i="2" a="1"/>
  <c r="O27" i="2" s="1"/>
  <c r="P27" i="2" s="1"/>
  <c r="O28" i="2" a="1"/>
  <c r="O28" i="2" s="1"/>
  <c r="P28" i="2" s="1"/>
  <c r="O29" i="2" a="1"/>
  <c r="O29" i="2" s="1"/>
  <c r="P29" i="2" s="1"/>
  <c r="O30" i="2" a="1"/>
  <c r="O30" i="2" s="1"/>
  <c r="P30" i="2" s="1"/>
  <c r="O31" i="2" a="1"/>
  <c r="O31" i="2" s="1"/>
  <c r="P31" i="2" s="1"/>
  <c r="O32" i="2" a="1"/>
  <c r="O32" i="2" s="1"/>
  <c r="P32" i="2" s="1"/>
  <c r="O33" i="2" a="1"/>
  <c r="O33" i="2" s="1"/>
  <c r="P33" i="2" s="1"/>
  <c r="O34" i="2" a="1"/>
  <c r="O34" i="2" s="1"/>
  <c r="P34" i="2" s="1"/>
  <c r="O35" i="2" a="1"/>
  <c r="O35" i="2" s="1"/>
  <c r="P35" i="2" s="1"/>
  <c r="O36" i="2" a="1"/>
  <c r="O36" i="2" s="1"/>
  <c r="P36" i="2" s="1"/>
  <c r="O37" i="2" a="1"/>
  <c r="O37" i="2" s="1"/>
  <c r="P37" i="2" s="1"/>
  <c r="O38" i="2" a="1"/>
  <c r="O38" i="2" s="1"/>
  <c r="P38" i="2" s="1"/>
  <c r="O39" i="2" a="1"/>
  <c r="O39" i="2" s="1"/>
  <c r="P39" i="2" s="1"/>
  <c r="O40" i="2" a="1"/>
  <c r="O40" i="2" s="1"/>
  <c r="P40" i="2" s="1"/>
  <c r="O41" i="2" a="1"/>
  <c r="O41" i="2" s="1"/>
  <c r="P41" i="2" s="1"/>
  <c r="O42" i="2" a="1"/>
  <c r="O42" i="2" s="1"/>
  <c r="P42" i="2" s="1"/>
  <c r="O43" i="2" a="1"/>
  <c r="O43" i="2" s="1"/>
  <c r="P43" i="2" s="1"/>
  <c r="O44" i="2" a="1"/>
  <c r="O44" i="2" s="1"/>
  <c r="P44" i="2" s="1"/>
  <c r="O45" i="2" a="1"/>
  <c r="O45" i="2" s="1"/>
  <c r="P45" i="2" s="1"/>
  <c r="O46" i="2" a="1"/>
  <c r="O46" i="2" s="1"/>
  <c r="P46" i="2" s="1"/>
  <c r="O47" i="2" a="1"/>
  <c r="O47" i="2" s="1"/>
  <c r="P47" i="2" s="1"/>
  <c r="O48" i="2" a="1"/>
  <c r="O48" i="2" s="1"/>
  <c r="P48" i="2" s="1"/>
  <c r="O49" i="2" a="1"/>
  <c r="O49" i="2" s="1"/>
  <c r="P49" i="2" s="1"/>
  <c r="F49" i="2"/>
  <c r="G49" i="2"/>
  <c r="H49" i="2"/>
  <c r="N49" i="2" s="1"/>
  <c r="J49" i="2"/>
  <c r="L49" i="2"/>
  <c r="L32" i="4"/>
  <c r="K31" i="4"/>
  <c r="E30" i="4"/>
  <c r="E31" i="4"/>
  <c r="E32" i="4"/>
  <c r="K8" i="4"/>
  <c r="K9" i="4"/>
  <c r="K10" i="4"/>
  <c r="K11" i="4"/>
  <c r="K12" i="4"/>
  <c r="K13" i="4"/>
  <c r="K14" i="4"/>
  <c r="K15" i="4"/>
  <c r="K16" i="4"/>
  <c r="K17" i="4"/>
  <c r="K18" i="4"/>
  <c r="K19" i="4"/>
  <c r="K20" i="4"/>
  <c r="K21" i="4"/>
  <c r="K22" i="4"/>
  <c r="K23" i="4"/>
  <c r="K24" i="4"/>
  <c r="K25" i="4"/>
  <c r="K26" i="4"/>
  <c r="K27" i="4"/>
  <c r="K28" i="4"/>
  <c r="K29" i="4"/>
  <c r="K30" i="4"/>
  <c r="E33" i="4"/>
  <c r="E34" i="4"/>
  <c r="E35" i="4"/>
  <c r="L31" i="4"/>
  <c r="L33" i="4"/>
  <c r="L34" i="4"/>
  <c r="L35" i="4"/>
  <c r="L7" i="3"/>
  <c r="L26" i="3"/>
  <c r="L8" i="3"/>
  <c r="L9" i="3"/>
  <c r="L10" i="3"/>
  <c r="L11" i="3"/>
  <c r="L12" i="3"/>
  <c r="L13" i="3"/>
  <c r="L14" i="3"/>
  <c r="L15" i="3"/>
  <c r="L16" i="3"/>
  <c r="L17" i="3"/>
  <c r="L18" i="3"/>
  <c r="L19" i="3"/>
  <c r="L20" i="3"/>
  <c r="L21" i="3"/>
  <c r="L22" i="3"/>
  <c r="L23" i="3"/>
  <c r="L24" i="3"/>
  <c r="L25" i="3"/>
  <c r="L27" i="3"/>
  <c r="L28" i="3"/>
  <c r="L29" i="3"/>
  <c r="L30" i="3"/>
  <c r="M8" i="3"/>
  <c r="M9" i="3"/>
  <c r="M10" i="3"/>
  <c r="M11" i="3"/>
  <c r="M12" i="3"/>
  <c r="M13" i="3"/>
  <c r="M14" i="3"/>
  <c r="M15" i="3"/>
  <c r="M16" i="3"/>
  <c r="M17" i="3"/>
  <c r="M18" i="3"/>
  <c r="M19" i="3"/>
  <c r="M20" i="3"/>
  <c r="M21" i="3"/>
  <c r="M22" i="3"/>
  <c r="M23" i="3"/>
  <c r="M24" i="3"/>
  <c r="M25" i="3"/>
  <c r="M26" i="3"/>
  <c r="M27" i="3"/>
  <c r="M28" i="3"/>
  <c r="M29" i="3"/>
  <c r="M30" i="3"/>
  <c r="G8" i="3"/>
  <c r="G9" i="3"/>
  <c r="G10" i="3"/>
  <c r="G11" i="3"/>
  <c r="G12" i="3"/>
  <c r="G13" i="3"/>
  <c r="G14" i="3"/>
  <c r="G15" i="3"/>
  <c r="G16" i="3"/>
  <c r="G17" i="3"/>
  <c r="G18" i="3"/>
  <c r="G19" i="3"/>
  <c r="G20" i="3"/>
  <c r="G21" i="3"/>
  <c r="G22" i="3"/>
  <c r="G23" i="3"/>
  <c r="G24" i="3"/>
  <c r="G25" i="3"/>
  <c r="G26" i="3"/>
  <c r="G27" i="3"/>
  <c r="G28" i="3"/>
  <c r="G29" i="3"/>
  <c r="G30" i="3"/>
  <c r="E30" i="3"/>
  <c r="E8" i="3"/>
  <c r="E9" i="3"/>
  <c r="E10" i="3"/>
  <c r="E11" i="3"/>
  <c r="E12" i="3"/>
  <c r="E13" i="3"/>
  <c r="E14" i="3"/>
  <c r="E15" i="3"/>
  <c r="E16" i="3"/>
  <c r="E17" i="3"/>
  <c r="E18" i="3"/>
  <c r="E19" i="3"/>
  <c r="E20" i="3"/>
  <c r="E21" i="3"/>
  <c r="E22" i="3"/>
  <c r="E23" i="3"/>
  <c r="E24" i="3"/>
  <c r="E25" i="3"/>
  <c r="E26" i="3"/>
  <c r="E27" i="3"/>
  <c r="E28" i="3"/>
  <c r="E29" i="3"/>
  <c r="L8" i="4"/>
  <c r="L9" i="4"/>
  <c r="L10" i="4"/>
  <c r="L11" i="4"/>
  <c r="L12" i="4"/>
  <c r="L13" i="4"/>
  <c r="L14" i="4"/>
  <c r="L15" i="4"/>
  <c r="L16" i="4"/>
  <c r="L17" i="4"/>
  <c r="L18" i="4"/>
  <c r="L19" i="4"/>
  <c r="L20" i="4"/>
  <c r="L21" i="4"/>
  <c r="L22" i="4"/>
  <c r="L23" i="4"/>
  <c r="L24" i="4"/>
  <c r="L25" i="4"/>
  <c r="L26" i="4"/>
  <c r="L27" i="4"/>
  <c r="L28" i="4"/>
  <c r="L29" i="4"/>
  <c r="L30" i="4"/>
  <c r="F29" i="2"/>
  <c r="F30" i="2"/>
  <c r="F31" i="2"/>
  <c r="F32" i="2"/>
  <c r="F33" i="2"/>
  <c r="F34" i="2"/>
  <c r="F35" i="2"/>
  <c r="F36" i="2"/>
  <c r="F37" i="2"/>
  <c r="F38" i="2"/>
  <c r="F39" i="2"/>
  <c r="F40" i="2"/>
  <c r="F41" i="2"/>
  <c r="F42" i="2"/>
  <c r="F43" i="2"/>
  <c r="F44" i="2"/>
  <c r="F45" i="2"/>
  <c r="F46" i="2"/>
  <c r="F47" i="2"/>
  <c r="F48" i="2"/>
  <c r="G29" i="2"/>
  <c r="G30" i="2"/>
  <c r="G31" i="2"/>
  <c r="G32" i="2"/>
  <c r="G33" i="2"/>
  <c r="G34" i="2"/>
  <c r="G35" i="2"/>
  <c r="G36" i="2"/>
  <c r="G37" i="2"/>
  <c r="G38" i="2"/>
  <c r="G39" i="2"/>
  <c r="G40" i="2"/>
  <c r="G41" i="2"/>
  <c r="G42" i="2"/>
  <c r="G43" i="2"/>
  <c r="G44" i="2"/>
  <c r="G45" i="2"/>
  <c r="G46" i="2"/>
  <c r="G47" i="2"/>
  <c r="G48" i="2"/>
  <c r="N29" i="2"/>
  <c r="H34" i="2"/>
  <c r="H35" i="2"/>
  <c r="N35" i="2" s="1"/>
  <c r="H36" i="2"/>
  <c r="N36" i="2" s="1"/>
  <c r="H37" i="2"/>
  <c r="N37" i="2" s="1"/>
  <c r="H38" i="2"/>
  <c r="H39" i="2"/>
  <c r="H40" i="2"/>
  <c r="N40" i="2" s="1"/>
  <c r="H41" i="2"/>
  <c r="N41" i="2" s="1"/>
  <c r="H42" i="2"/>
  <c r="N42" i="2" s="1"/>
  <c r="H43" i="2"/>
  <c r="N43" i="2" s="1"/>
  <c r="H44" i="2"/>
  <c r="N44" i="2" s="1"/>
  <c r="H45" i="2"/>
  <c r="N45" i="2" s="1"/>
  <c r="H46" i="2"/>
  <c r="N46" i="2" s="1"/>
  <c r="H47" i="2"/>
  <c r="N47" i="2" s="1"/>
  <c r="H48" i="2"/>
  <c r="N48" i="2" s="1"/>
  <c r="J29" i="2"/>
  <c r="J30" i="2"/>
  <c r="J31" i="2"/>
  <c r="J32" i="2"/>
  <c r="J33" i="2"/>
  <c r="J34" i="2"/>
  <c r="J35" i="2"/>
  <c r="L35" i="2" s="1"/>
  <c r="J36" i="2"/>
  <c r="L36" i="2" s="1"/>
  <c r="J37" i="2"/>
  <c r="L37" i="2" s="1"/>
  <c r="J38" i="2"/>
  <c r="J39" i="2"/>
  <c r="J40" i="2"/>
  <c r="L40" i="2" s="1"/>
  <c r="J41" i="2"/>
  <c r="L41" i="2" s="1"/>
  <c r="J42" i="2"/>
  <c r="L42" i="2" s="1"/>
  <c r="J43" i="2"/>
  <c r="L43" i="2" s="1"/>
  <c r="J44" i="2"/>
  <c r="L44" i="2" s="1"/>
  <c r="J45" i="2"/>
  <c r="L45" i="2" s="1"/>
  <c r="J46" i="2"/>
  <c r="L46" i="2" s="1"/>
  <c r="J47" i="2"/>
  <c r="L47" i="2" s="1"/>
  <c r="J48" i="2"/>
  <c r="L48" i="2" s="1"/>
  <c r="E28" i="4"/>
  <c r="E29" i="4"/>
  <c r="B58" i="8"/>
  <c r="B28" i="8"/>
  <c r="B15" i="8"/>
  <c r="B11" i="8"/>
  <c r="B7" i="8"/>
  <c r="B3" i="8"/>
  <c r="E8" i="4"/>
  <c r="E9" i="4"/>
  <c r="E10" i="4"/>
  <c r="E11" i="4"/>
  <c r="E12" i="4"/>
  <c r="E13" i="4"/>
  <c r="E14" i="4"/>
  <c r="E15" i="4"/>
  <c r="E16" i="4"/>
  <c r="E17" i="4"/>
  <c r="E18" i="4"/>
  <c r="E19" i="4"/>
  <c r="E20" i="4"/>
  <c r="E21" i="4"/>
  <c r="E22" i="4"/>
  <c r="E23" i="4"/>
  <c r="E24" i="4"/>
  <c r="E25" i="4"/>
  <c r="E26" i="4"/>
  <c r="E27" i="4"/>
  <c r="G7" i="3"/>
  <c r="M7" i="3"/>
  <c r="E7" i="3"/>
  <c r="E7" i="4"/>
  <c r="L7" i="4"/>
  <c r="G7" i="2"/>
  <c r="G8" i="2"/>
  <c r="H8" i="2" s="1"/>
  <c r="O8" i="2" s="1" a="1"/>
  <c r="O8" i="2" s="1"/>
  <c r="G9" i="2"/>
  <c r="H9" i="2" s="1"/>
  <c r="O9" i="2" s="1" a="1"/>
  <c r="O9" i="2" s="1"/>
  <c r="G10" i="2"/>
  <c r="H10" i="2" s="1"/>
  <c r="I34" i="4" s="1"/>
  <c r="G11" i="2"/>
  <c r="H11" i="2" s="1"/>
  <c r="O11" i="2" s="1" a="1"/>
  <c r="O11" i="2" s="1"/>
  <c r="G12" i="2"/>
  <c r="H12" i="2" s="1"/>
  <c r="O12" i="2" s="1" a="1"/>
  <c r="O12" i="2" s="1"/>
  <c r="G13" i="2"/>
  <c r="H13" i="2" s="1"/>
  <c r="O13" i="2" s="1" a="1"/>
  <c r="O13" i="2" s="1"/>
  <c r="G14" i="2"/>
  <c r="H14" i="2" s="1"/>
  <c r="O14" i="2" s="1" a="1"/>
  <c r="O14" i="2" s="1"/>
  <c r="G15" i="2"/>
  <c r="H15" i="2" s="1"/>
  <c r="O15" i="2" s="1" a="1"/>
  <c r="O15" i="2" s="1"/>
  <c r="G16" i="2"/>
  <c r="H16" i="2" s="1"/>
  <c r="O16" i="2" s="1" a="1"/>
  <c r="O16" i="2" s="1"/>
  <c r="P16" i="2" s="1"/>
  <c r="G17" i="2"/>
  <c r="H17" i="2" s="1"/>
  <c r="O17" i="2" s="1" a="1"/>
  <c r="O17" i="2" s="1"/>
  <c r="G18" i="2"/>
  <c r="H18" i="2" s="1"/>
  <c r="O18" i="2" s="1" a="1"/>
  <c r="O18" i="2" s="1"/>
  <c r="G19" i="2"/>
  <c r="H19" i="2" s="1"/>
  <c r="O19" i="2" s="1" a="1"/>
  <c r="O19" i="2" s="1"/>
  <c r="G20" i="2"/>
  <c r="H20" i="2" s="1"/>
  <c r="O20" i="2" s="1" a="1"/>
  <c r="O20" i="2" s="1"/>
  <c r="G21" i="2"/>
  <c r="H21" i="2" s="1"/>
  <c r="O21" i="2" s="1" a="1"/>
  <c r="O21" i="2" s="1"/>
  <c r="G22" i="2"/>
  <c r="H22" i="2" s="1"/>
  <c r="O22" i="2" s="1" a="1"/>
  <c r="O22" i="2" s="1"/>
  <c r="G23" i="2"/>
  <c r="H23" i="2" s="1"/>
  <c r="O23" i="2" s="1" a="1"/>
  <c r="O23" i="2" s="1"/>
  <c r="G24" i="2"/>
  <c r="H24" i="2" s="1"/>
  <c r="O24" i="2" s="1" a="1"/>
  <c r="O24" i="2" s="1"/>
  <c r="G25" i="2"/>
  <c r="H25" i="2" s="1"/>
  <c r="O25" i="2" s="1" a="1"/>
  <c r="O25" i="2" s="1"/>
  <c r="G26" i="2"/>
  <c r="G27" i="2"/>
  <c r="G28" i="2"/>
  <c r="F8" i="2"/>
  <c r="F7" i="2"/>
  <c r="F9" i="2"/>
  <c r="F10" i="2"/>
  <c r="F11" i="2"/>
  <c r="F12" i="2"/>
  <c r="F13" i="2"/>
  <c r="F14" i="2"/>
  <c r="F15" i="2"/>
  <c r="F16" i="2"/>
  <c r="F17" i="2"/>
  <c r="F18" i="2"/>
  <c r="F19" i="2"/>
  <c r="F20" i="2"/>
  <c r="F21" i="2"/>
  <c r="F22" i="2"/>
  <c r="F23" i="2"/>
  <c r="F24" i="2"/>
  <c r="F25" i="2"/>
  <c r="F26" i="2"/>
  <c r="F27" i="2"/>
  <c r="F28" i="2"/>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H26" i="2"/>
  <c r="N26" i="2" s="1"/>
  <c r="H27" i="2"/>
  <c r="N27" i="2" s="1"/>
  <c r="H28" i="2"/>
  <c r="N28" i="2" s="1"/>
  <c r="I36" i="4" l="1"/>
  <c r="I35" i="4"/>
  <c r="M49" i="2"/>
  <c r="I33" i="4"/>
  <c r="O10" i="2" a="1"/>
  <c r="O10" i="2" s="1"/>
  <c r="N38" i="2"/>
  <c r="L39" i="2"/>
  <c r="M39" i="2" s="1"/>
  <c r="N39" i="2"/>
  <c r="L38" i="2"/>
  <c r="M38" i="2" s="1"/>
  <c r="N34" i="2"/>
  <c r="L34" i="2"/>
  <c r="M34" i="2" s="1"/>
  <c r="L29" i="2"/>
  <c r="M29" i="2" s="1"/>
  <c r="L33" i="2"/>
  <c r="M33" i="2" s="1"/>
  <c r="L32" i="2"/>
  <c r="M32" i="2" s="1"/>
  <c r="L31" i="2"/>
  <c r="M31" i="2" s="1"/>
  <c r="L30" i="2"/>
  <c r="M30" i="2" s="1"/>
  <c r="M45" i="2"/>
  <c r="M37" i="2"/>
  <c r="M46" i="2"/>
  <c r="M48" i="2"/>
  <c r="M40" i="2"/>
  <c r="M47" i="2"/>
  <c r="M43" i="2"/>
  <c r="M35" i="2"/>
  <c r="M42" i="2"/>
  <c r="M41" i="2"/>
  <c r="M44" i="2"/>
  <c r="M36" i="2"/>
  <c r="H7" i="2"/>
  <c r="O7" i="2" s="1" a="1"/>
  <c r="O7" i="2" s="1"/>
  <c r="P9" i="2"/>
  <c r="P25" i="2"/>
  <c r="P14" i="2"/>
  <c r="P19" i="2"/>
  <c r="P11" i="2"/>
  <c r="P21" i="2"/>
  <c r="P13" i="2"/>
  <c r="M28" i="2"/>
  <c r="M27" i="2"/>
  <c r="M26" i="2"/>
  <c r="M10" i="2" l="1"/>
  <c r="P10" i="2"/>
  <c r="M8" i="2"/>
  <c r="P8" i="2"/>
  <c r="M17" i="2"/>
  <c r="P17" i="2"/>
  <c r="I30" i="4"/>
  <c r="P18" i="2"/>
  <c r="M12" i="2"/>
  <c r="P12" i="2"/>
  <c r="M24" i="2"/>
  <c r="P24" i="2"/>
  <c r="M23" i="2"/>
  <c r="P23" i="2"/>
  <c r="M7" i="2"/>
  <c r="P7" i="2"/>
  <c r="M20" i="2"/>
  <c r="P20" i="2"/>
  <c r="M22" i="2"/>
  <c r="P22" i="2"/>
  <c r="I31" i="4"/>
  <c r="P15" i="2"/>
  <c r="I32" i="4"/>
  <c r="M15" i="2"/>
  <c r="J21" i="3"/>
  <c r="N21" i="2"/>
  <c r="N9" i="2"/>
  <c r="J9" i="3"/>
  <c r="J19" i="3"/>
  <c r="N19" i="2"/>
  <c r="M9" i="2"/>
  <c r="J27" i="3"/>
  <c r="N25" i="2"/>
  <c r="J25" i="3"/>
  <c r="J26" i="3"/>
  <c r="J11" i="3"/>
  <c r="N11" i="2"/>
  <c r="J14" i="3"/>
  <c r="N14" i="2"/>
  <c r="N24" i="2"/>
  <c r="J24" i="3"/>
  <c r="M21" i="2"/>
  <c r="N16" i="2"/>
  <c r="J16" i="3"/>
  <c r="N15" i="2"/>
  <c r="J15" i="3"/>
  <c r="M25" i="2"/>
  <c r="N18" i="2"/>
  <c r="J28" i="3"/>
  <c r="J18" i="3"/>
  <c r="J12" i="3"/>
  <c r="J29" i="3"/>
  <c r="N12" i="2"/>
  <c r="J20" i="3"/>
  <c r="N20" i="2"/>
  <c r="J22" i="3"/>
  <c r="N22" i="2"/>
  <c r="J13" i="3"/>
  <c r="N13" i="2"/>
  <c r="N17" i="2"/>
  <c r="J30" i="3"/>
  <c r="J17" i="3"/>
  <c r="N23" i="2"/>
  <c r="J23" i="3"/>
  <c r="M14" i="2"/>
  <c r="M16" i="2"/>
  <c r="M11" i="2"/>
  <c r="N10" i="2"/>
  <c r="J10" i="3"/>
  <c r="N8" i="2"/>
  <c r="J8" i="3"/>
  <c r="M13" i="2"/>
  <c r="M19" i="2"/>
  <c r="M18" i="2"/>
  <c r="I14" i="4"/>
  <c r="I15" i="4"/>
  <c r="I16" i="4"/>
  <c r="I12" i="4"/>
  <c r="I24" i="4"/>
  <c r="I13" i="4"/>
  <c r="I23" i="4"/>
  <c r="I25" i="4"/>
  <c r="I26" i="4"/>
  <c r="I28" i="4"/>
  <c r="I10" i="4"/>
  <c r="I8" i="4"/>
  <c r="I19" i="4"/>
  <c r="I29" i="4"/>
  <c r="I20" i="4"/>
  <c r="I17" i="4"/>
  <c r="I18" i="4"/>
  <c r="I9" i="4"/>
  <c r="I22" i="4"/>
  <c r="I21" i="4"/>
  <c r="I11" i="4"/>
  <c r="I27" i="4"/>
  <c r="J7" i="3"/>
  <c r="I7" i="4"/>
  <c r="N7" i="2"/>
  <c r="L6" i="1" l="1" a="1"/>
  <c r="L6" i="1" s="1"/>
  <c r="N6" i="1" a="1"/>
  <c r="N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<sst xmlns="http://schemas.openxmlformats.org/spreadsheetml/2006/main" count="354" uniqueCount="198">
  <si>
    <t>ProductID</t>
  </si>
  <si>
    <t>Product_Name</t>
  </si>
  <si>
    <t>Purchase</t>
  </si>
  <si>
    <t>Sales</t>
  </si>
  <si>
    <t>Available_Stock</t>
  </si>
  <si>
    <t>Reorder_Level</t>
  </si>
  <si>
    <t>Unit_Cost</t>
  </si>
  <si>
    <t>Unit_Price</t>
  </si>
  <si>
    <t>Profit</t>
  </si>
  <si>
    <t>Total_Value</t>
  </si>
  <si>
    <t>Status</t>
  </si>
  <si>
    <t>INV0001</t>
  </si>
  <si>
    <t>INV0002</t>
  </si>
  <si>
    <t>Fresh Produce</t>
  </si>
  <si>
    <t>INV0003</t>
  </si>
  <si>
    <t>Meat</t>
  </si>
  <si>
    <t>INV0004</t>
  </si>
  <si>
    <t>Seafood</t>
  </si>
  <si>
    <t>INV0005</t>
  </si>
  <si>
    <t>Personal Care</t>
  </si>
  <si>
    <t>INV0006</t>
  </si>
  <si>
    <t>Beverages</t>
  </si>
  <si>
    <t>INV0007</t>
  </si>
  <si>
    <t>Dairy</t>
  </si>
  <si>
    <t>INV0008</t>
  </si>
  <si>
    <t>INV0009</t>
  </si>
  <si>
    <t>INV0010</t>
  </si>
  <si>
    <t>INV0011</t>
  </si>
  <si>
    <t>INV0012</t>
  </si>
  <si>
    <t>INV0013</t>
  </si>
  <si>
    <t>INV0014</t>
  </si>
  <si>
    <t>INV0015</t>
  </si>
  <si>
    <t>INV0016</t>
  </si>
  <si>
    <t>INV0017</t>
  </si>
  <si>
    <t>INV0018</t>
  </si>
  <si>
    <t>INV0019</t>
  </si>
  <si>
    <t xml:space="preserve"> Pantry</t>
  </si>
  <si>
    <t>House Cake</t>
  </si>
  <si>
    <t>Fresh Wine</t>
  </si>
  <si>
    <t>Kitchen Hanger</t>
  </si>
  <si>
    <t>Waste Paper</t>
  </si>
  <si>
    <t>Beauty Care</t>
  </si>
  <si>
    <t>Make-up Table</t>
  </si>
  <si>
    <t>Children's Table</t>
  </si>
  <si>
    <t>Apple Juice</t>
  </si>
  <si>
    <t>Coffe Maker</t>
  </si>
  <si>
    <t>Plastic Cup</t>
  </si>
  <si>
    <t>Olive Plate</t>
  </si>
  <si>
    <t>Liquid Soap</t>
  </si>
  <si>
    <t>Product_Description</t>
  </si>
  <si>
    <t>SuppliersID</t>
  </si>
  <si>
    <t>Suppliers_Name</t>
  </si>
  <si>
    <t>Date</t>
  </si>
  <si>
    <t>Unit_cost</t>
  </si>
  <si>
    <t>Month</t>
  </si>
  <si>
    <t>product_Name</t>
  </si>
  <si>
    <t>Client_Name</t>
  </si>
  <si>
    <t>Unit_sold</t>
  </si>
  <si>
    <t>Avaliable_stock</t>
  </si>
  <si>
    <t>Total_Price</t>
  </si>
  <si>
    <t>John Smith</t>
  </si>
  <si>
    <t>Robert Garcia</t>
  </si>
  <si>
    <t>Susan Thompson</t>
  </si>
  <si>
    <t>Thomas Garcia</t>
  </si>
  <si>
    <t>Lisa Martinez</t>
  </si>
  <si>
    <t>Barbara Harris</t>
  </si>
  <si>
    <t>Karen Lewis</t>
  </si>
  <si>
    <t>Jennifer Miller</t>
  </si>
  <si>
    <t>Patricia Taylor</t>
  </si>
  <si>
    <t>Joseph Martin</t>
  </si>
  <si>
    <t>Nancy Hall</t>
  </si>
  <si>
    <t>Charles Walker</t>
  </si>
  <si>
    <t>Sales ID</t>
  </si>
  <si>
    <t>Invent ID</t>
  </si>
  <si>
    <t>Total_Profit</t>
  </si>
  <si>
    <t>Total_Amount</t>
  </si>
  <si>
    <t>Items_Supplied</t>
  </si>
  <si>
    <t>Phone</t>
  </si>
  <si>
    <t>Email</t>
  </si>
  <si>
    <t>Address</t>
  </si>
  <si>
    <t>Reorder</t>
  </si>
  <si>
    <t>Lead_Date</t>
  </si>
  <si>
    <t>SUP0002</t>
  </si>
  <si>
    <t>PT Nusantara Supplier</t>
  </si>
  <si>
    <t>+1-317-713-5325</t>
  </si>
  <si>
    <t>ibex45@gmail.com</t>
  </si>
  <si>
    <t>1506 Main Avenue, Apt 216, Atlanta, WA 68256</t>
  </si>
  <si>
    <t>SUP0003</t>
  </si>
  <si>
    <t>PT Segar Makmur</t>
  </si>
  <si>
    <t>+1-311-559-3646</t>
  </si>
  <si>
    <t>restip@gmail.com</t>
  </si>
  <si>
    <t>6937 Hill Road, Apt 1, Boston, CO 15026</t>
  </si>
  <si>
    <t>SUP0004</t>
  </si>
  <si>
    <t>PT Bakerindo</t>
  </si>
  <si>
    <t>+1-317-108-4477</t>
  </si>
  <si>
    <t>mobis@gmail.com</t>
  </si>
  <si>
    <t>9520 Oak Street, Apt 480, Boston, AZ 35275</t>
  </si>
  <si>
    <t>SUP0005</t>
  </si>
  <si>
    <t>PT Indo Fresh</t>
  </si>
  <si>
    <t>+1-313-329-2167</t>
  </si>
  <si>
    <t>sas@gmail.com</t>
  </si>
  <si>
    <t>2939 Park Drive, Apt 220, New York, NC 97799</t>
  </si>
  <si>
    <t>SUP0006</t>
  </si>
  <si>
    <t>+1-315-823-4017</t>
  </si>
  <si>
    <t>emmy@gmail.com</t>
  </si>
  <si>
    <t>3475 Maple Road, Apt 459, Chicago, GA 10195</t>
  </si>
  <si>
    <t>SUP0007</t>
  </si>
  <si>
    <t>+1-319-142-3391</t>
  </si>
  <si>
    <t>ddy@gmail.com</t>
  </si>
  <si>
    <t>5619 Cedar Street, Apt 489, Chicago, TX 31233</t>
  </si>
  <si>
    <t>SUP0008</t>
  </si>
  <si>
    <t>PT Beverage Nusantara</t>
  </si>
  <si>
    <t>+1-315-726-8985</t>
  </si>
  <si>
    <t>teddy@outlook.com</t>
  </si>
  <si>
    <t>1849 Washington Drive, Apt 49, Denver, TX 60713</t>
  </si>
  <si>
    <t>SUP0009</t>
  </si>
  <si>
    <t>PT DailyDairy</t>
  </si>
  <si>
    <t>+1-315-726-8986</t>
  </si>
  <si>
    <t>gocia@hotmail.com</t>
  </si>
  <si>
    <t>4323 Pine Avenue, Apt 353, New York, WA 46056</t>
  </si>
  <si>
    <t>SUP0010</t>
  </si>
  <si>
    <t>+1-317-812-3021</t>
  </si>
  <si>
    <t>455@gmail.com</t>
  </si>
  <si>
    <t>8518 Elm Avenue, Apt 265, Phoenix, CO 40853</t>
  </si>
  <si>
    <t>SUP0011</t>
  </si>
  <si>
    <t>+1-312-330-3571</t>
  </si>
  <si>
    <t>purchase336@gmail.com</t>
  </si>
  <si>
    <t>1558 Washington Street, Apt 326, Denver, CA 68985</t>
  </si>
  <si>
    <t>SUP0012</t>
  </si>
  <si>
    <t>PT Agro Raya</t>
  </si>
  <si>
    <t>+1-319-543-2253</t>
  </si>
  <si>
    <t>great44@gmail.com</t>
  </si>
  <si>
    <t>8894 Maple Road, Apt 9, Atlanta, FL 25732</t>
  </si>
  <si>
    <t>SUP0013</t>
  </si>
  <si>
    <t>PT Hygienic Supplies</t>
  </si>
  <si>
    <t>+1-316-951-5851</t>
  </si>
  <si>
    <t>sales338@gmail.com</t>
  </si>
  <si>
    <t>9178 Main Drive, Apt 232, Chicago, NY 43696</t>
  </si>
  <si>
    <t>SUP0014</t>
  </si>
  <si>
    <t>+1-316-754-5515</t>
  </si>
  <si>
    <t>Tyy881@gmail.com</t>
  </si>
  <si>
    <t>2345 Washington Avenue, Apt 400, Dallas, AZ 66586</t>
  </si>
  <si>
    <t>SUP0015</t>
  </si>
  <si>
    <t>PT Frozen Express</t>
  </si>
  <si>
    <t>+1-311-785-1107</t>
  </si>
  <si>
    <t>supplier315@gmail.com</t>
  </si>
  <si>
    <t>959 Hill Avenue, Apt 114, New York, FL 58937</t>
  </si>
  <si>
    <t>SUP0016</t>
  </si>
  <si>
    <t>+1-319-625-7374</t>
  </si>
  <si>
    <t>BBY312@gmail.com</t>
  </si>
  <si>
    <t>9568 Park Street, Apt 393, Phoenix, AZ 67597</t>
  </si>
  <si>
    <t>SUP0017</t>
  </si>
  <si>
    <t>+1-314-255-7671</t>
  </si>
  <si>
    <t>850@gmail.com</t>
  </si>
  <si>
    <t>9000 Pine Street, Apt 238, New York, GA 76777</t>
  </si>
  <si>
    <t>SUP0018</t>
  </si>
  <si>
    <t>+1-315-211-3364</t>
  </si>
  <si>
    <t>VYT685@gmail.com</t>
  </si>
  <si>
    <t>8817 Pine Street, Apt 51, Houston, GA 70773</t>
  </si>
  <si>
    <t>SUP0019</t>
  </si>
  <si>
    <t>+1-319-912-9041</t>
  </si>
  <si>
    <t>GBT42@gmail.com</t>
  </si>
  <si>
    <t>1820 Maple Street, Apt 470, Seattle, IL 57934</t>
  </si>
  <si>
    <t>SUP0001</t>
  </si>
  <si>
    <t>+1-319-194-8332</t>
  </si>
  <si>
    <t>juan@gmail.com</t>
  </si>
  <si>
    <t>1309 Maple Drive, Apt 84, Seattle, NY 11991</t>
  </si>
  <si>
    <t xml:space="preserve"> </t>
  </si>
  <si>
    <t>feb</t>
  </si>
  <si>
    <t>mar</t>
  </si>
  <si>
    <t>abr</t>
  </si>
  <si>
    <t>may</t>
  </si>
  <si>
    <t>Notisfication</t>
  </si>
  <si>
    <t>Available stock amount</t>
  </si>
  <si>
    <t>Sum of Total_Amount</t>
  </si>
  <si>
    <t>Total profit</t>
  </si>
  <si>
    <t>Sum of Total_Profit</t>
  </si>
  <si>
    <t>Count of Product_Name</t>
  </si>
  <si>
    <t>Number of  product sold</t>
  </si>
  <si>
    <t>Total Available Stock</t>
  </si>
  <si>
    <t>Sum of Available_Stock</t>
  </si>
  <si>
    <t>Row Labels</t>
  </si>
  <si>
    <t>Grand Total</t>
  </si>
  <si>
    <t>Sum of Total_Value</t>
  </si>
  <si>
    <t>Sum of Total_Price</t>
  </si>
  <si>
    <t>Count of Items_Supplied</t>
  </si>
  <si>
    <t>Total purchase</t>
  </si>
  <si>
    <t>total sales</t>
  </si>
  <si>
    <t>Jan kiss</t>
  </si>
  <si>
    <t xml:space="preserve">STOCK  NOTISFICATION </t>
  </si>
  <si>
    <t>Alert</t>
  </si>
  <si>
    <t>jun</t>
  </si>
  <si>
    <t>Victor</t>
  </si>
  <si>
    <t>bek</t>
  </si>
  <si>
    <t>bassy</t>
  </si>
  <si>
    <t>david</t>
  </si>
  <si>
    <t>giselle</t>
  </si>
  <si>
    <t>grace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</si>
</sst>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_-[$$-409]* #,##0.00_ ;_-[$$-409]* \-#,##0.00\ ;_-[$$-409]* &quot;-&quot;??_ ;_-@_ "/>
    <numFmt numFmtId="166" formatCode="_-[$$-409]* #,##0_ ;_-[$$-409]* \-#,##0\ ;_-[$$-409]* &quot;-&quot;_ ;_-@_ "/>
  </numFmts>
  <fonts count="10" x14ac:knownFonts="1">
    <font>
      <sz val="11"/>
      <color theme="1"/>
      <name val="Aptos Narrow"/>
      <family val="2"/>
      <scheme val="minor"/>
    </font>
    <font>
      <sz val="8"/>
      <name val="Aptos Narrow"/>
      <family val="2"/>
      <scheme val="minor"/>
    </font>
    <font>
      <sz val="11"/>
      <color rgb="FFFF0000"/>
      <name val="Aptos Narrow"/>
      <family val="2"/>
      <scheme val="minor"/>
    </font>
    <font>
      <sz val="8"/>
      <color theme="1"/>
      <name val="Aptos Narrow"/>
      <family val="2"/>
      <scheme val="minor"/>
    </font>
    <font>
      <b/>
      <sz val="12"/>
      <color theme="1"/>
      <name val="Aptos Narrow"/>
      <family val="2"/>
      <scheme val="minor"/>
    </font>
    <font>
      <sz val="12"/>
      <color theme="1"/>
      <name val="Aptos Narrow"/>
      <family val="2"/>
      <scheme val="minor"/>
    </font>
    <font>
      <sz val="11"/>
      <color rgb="FFC00000"/>
      <name val="Aptos Narrow"/>
      <family val="2"/>
      <scheme val="minor"/>
    </font>
    <font>
      <b/>
      <sz val="8"/>
      <name val="Aptos Narrow"/>
      <family val="2"/>
      <scheme val="minor"/>
    </font>
    <font>
      <b/>
      <sz val="12"/>
      <name val="Aptos Narrow"/>
      <family val="2"/>
      <scheme val="minor"/>
    </font>
    <font>
      <sz val="12"/>
      <color rgb="FFFF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s>
  <borders count="9">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2">
    <xf numFmtId="0" fontId="0" fillId="0" borderId="0" xfId="0"/>
    <xf numFmtId="0" fontId="0" fillId="2" borderId="0" xfId="0" applyFill="1"/>
    <xf numFmtId="0" fontId="0" fillId="3" borderId="0" xfId="0" applyFill="1"/>
    <xf numFmtId="0" fontId="0" fillId="2" borderId="0" xfId="0" applyFill="1" applyAlignment="1">
      <alignment horizontal="center"/>
    </xf>
    <xf numFmtId="0" fontId="2" fillId="2" borderId="0" xfId="0" applyFont="1" applyFill="1" applyAlignment="1">
      <alignment horizontal="center"/>
    </xf>
    <xf numFmtId="0" fontId="3" fillId="2" borderId="0" xfId="0" applyFont="1" applyFill="1"/>
    <xf numFmtId="0" fontId="0" fillId="2" borderId="0" xfId="0" applyFill="1" applyAlignment="1">
      <alignment horizontal="left"/>
    </xf>
    <xf numFmtId="165" fontId="0" fillId="2" borderId="0" xfId="0" applyNumberFormat="1" applyFill="1" applyAlignment="1">
      <alignment horizontal="center"/>
    </xf>
    <xf numFmtId="0" fontId="6" fillId="2" borderId="0" xfId="0" applyFont="1" applyFill="1" applyAlignment="1">
      <alignment horizontal="center"/>
    </xf>
    <xf numFmtId="165" fontId="6" fillId="2" borderId="0" xfId="0" applyNumberFormat="1" applyFont="1" applyFill="1" applyAlignment="1">
      <alignment horizontal="center"/>
    </xf>
    <xf numFmtId="164" fontId="0" fillId="2" borderId="0" xfId="0" applyNumberFormat="1" applyFill="1" applyAlignment="1">
      <alignment horizontal="center"/>
    </xf>
    <xf numFmtId="0" fontId="0" fillId="0" borderId="0" xfId="0" pivotButton="1"/>
    <xf numFmtId="165" fontId="0" fillId="0" borderId="0" xfId="0" applyNumberFormat="1"/>
    <xf numFmtId="0" fontId="0" fillId="0" borderId="0" xfId="0" applyAlignment="1">
      <alignment horizontal="left"/>
    </xf>
    <xf numFmtId="166" fontId="0" fillId="0" borderId="0" xfId="0" applyNumberFormat="1"/>
    <xf numFmtId="1" fontId="0" fillId="0" borderId="0" xfId="0" applyNumberFormat="1"/>
    <xf numFmtId="0" fontId="5" fillId="2" borderId="0" xfId="0" applyFont="1" applyFill="1" applyAlignment="1">
      <alignment horizontal="center"/>
    </xf>
    <xf numFmtId="0" fontId="0" fillId="4" borderId="1" xfId="0" applyFill="1" applyBorder="1"/>
    <xf numFmtId="0" fontId="0" fillId="4" borderId="0" xfId="0" applyFill="1"/>
    <xf numFmtId="0" fontId="4" fillId="4" borderId="0" xfId="0" applyFont="1" applyFill="1" applyAlignment="1">
      <alignment horizontal="center"/>
    </xf>
    <xf numFmtId="0" fontId="0" fillId="4" borderId="4" xfId="0" applyFill="1" applyBorder="1"/>
    <xf numFmtId="0" fontId="0" fillId="4" borderId="6" xfId="0" applyFill="1" applyBorder="1"/>
    <xf numFmtId="0" fontId="0" fillId="4" borderId="7" xfId="0" applyFill="1" applyBorder="1"/>
    <xf numFmtId="0" fontId="0" fillId="4" borderId="8" xfId="0" applyFill="1" applyBorder="1"/>
    <xf numFmtId="0" fontId="0" fillId="2" borderId="7" xfId="0" applyFill="1" applyBorder="1"/>
    <xf numFmtId="0" fontId="7" fillId="2" borderId="7" xfId="0" applyFont="1" applyFill="1" applyBorder="1" applyAlignment="1">
      <alignment horizontal="center"/>
    </xf>
    <xf numFmtId="0" fontId="8" fillId="2" borderId="0" xfId="0" applyFont="1" applyFill="1" applyAlignment="1">
      <alignment horizontal="center"/>
    </xf>
    <xf numFmtId="0" fontId="2" fillId="4" borderId="2" xfId="0" applyFont="1" applyFill="1" applyBorder="1" applyAlignment="1">
      <alignment horizontal="left"/>
    </xf>
    <xf numFmtId="0" fontId="2" fillId="4" borderId="3" xfId="0" applyFont="1" applyFill="1" applyBorder="1" applyAlignment="1">
      <alignment horizontal="left"/>
    </xf>
    <xf numFmtId="0" fontId="9" fillId="4" borderId="3" xfId="0" applyFont="1" applyFill="1" applyBorder="1" applyAlignment="1">
      <alignment horizontal="left"/>
    </xf>
    <xf numFmtId="0" fontId="2" fillId="4" borderId="3" xfId="0" applyFont="1" applyFill="1" applyBorder="1"/>
    <xf numFmtId="0" fontId="2" fillId="4" borderId="5" xfId="0" applyFont="1" applyFill="1" applyBorder="1"/>
  </cellXfs>
  <cellStyles count="1">
    <cellStyle name="Normal" xfId="0" builtinId="0"/>
  </cellStyles>
  <dxfs count="62">
    <dxf>
      <font>
        <color rgb="FFC00000"/>
      </font>
    </dxf>
    <dxf>
      <font>
        <color rgb="FF00B050"/>
      </font>
    </dxf>
    <dxf>
      <font>
        <color rgb="FFFFC000"/>
      </font>
    </dxf>
    <dxf>
      <font>
        <color rgb="FF00B050"/>
      </font>
    </dxf>
    <dxf>
      <font>
        <color rgb="FFC00000"/>
      </font>
    </dxf>
    <dxf>
      <font>
        <color rgb="FFFFC000"/>
      </font>
    </dxf>
    <dxf>
      <font>
        <color rgb="FFC00000"/>
      </font>
    </dxf>
    <dxf>
      <font>
        <color rgb="FF00B050"/>
      </font>
    </dxf>
    <dxf>
      <font>
        <color rgb="FFFFC000"/>
      </font>
    </dxf>
    <dxf>
      <numFmt numFmtId="165" formatCode="_-[$$-409]* #,##0.00_ ;_-[$$-409]* \-#,##0.00\ ;_-[$$-409]* &quot;-&quot;??_ ;_-@_ "/>
    </dxf>
    <dxf>
      <numFmt numFmtId="1" formatCode="0"/>
    </dxf>
    <dxf>
      <numFmt numFmtId="1" formatCode="0"/>
    </dxf>
    <dxf>
      <numFmt numFmtId="165" formatCode="_-[$$-409]* #,##0.00_ ;_-[$$-409]* \-#,##0.00\ ;_-[$$-409]* &quot;-&quot;??_ ;_-@_ "/>
    </dxf>
    <dxf>
      <numFmt numFmtId="1" formatCode="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numFmt numFmtId="0" formatCode="General"/>
      <fill>
        <patternFill patternType="solid">
          <fgColor indexed="64"/>
          <bgColor theme="0" tint="-0.14999847407452621"/>
        </patternFill>
      </fill>
      <alignment horizontal="left" vertical="bottom" textRotation="0" wrapText="0" indent="0" justifyLastLine="0" shrinkToFit="0" readingOrder="0"/>
    </dxf>
    <dxf>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165" formatCode="_-[$$-409]* #,##0.00_ ;_-[$$-409]* \-#,##0.00\ ;_-[$$-409]* &quot;-&quot;??_ ;_-@_ "/>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rgb="FFC00000"/>
        <name val="Aptos Narrow"/>
        <family val="2"/>
        <scheme val="minor"/>
      </font>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
      <fill>
        <patternFill patternType="solid">
          <fgColor indexed="64"/>
          <bgColor theme="0" tint="-0.1499984740745262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control tower.xlsx]pivot!PivotTable6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b="1" baseline="0">
                <a:solidFill>
                  <a:sysClr val="windowText" lastClr="000000"/>
                </a:solidFill>
              </a:rPr>
              <a:t>Purchase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CF79-453E-A49C-645B297D1F0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CF79-453E-A49C-645B297D1F0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CF79-453E-A49C-645B297D1F0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CF79-453E-A49C-645B297D1F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pivot!$A$21:$A$26</c:f>
              <c:strCache>
                <c:ptCount val="5"/>
                <c:pt idx="0">
                  <c:v>mar</c:v>
                </c:pt>
                <c:pt idx="1">
                  <c:v>abr</c:v>
                </c:pt>
                <c:pt idx="2">
                  <c:v>feb</c:v>
                </c:pt>
                <c:pt idx="3">
                  <c:v>may</c:v>
                </c:pt>
                <c:pt idx="4">
                  <c:v>jun</c:v>
                </c:pt>
              </c:strCache>
            </c:strRef>
          </c:cat>
          <c:val>
            <c:numRef>
              <c:f>pivot!$B$21:$B$26</c:f>
              <c:numCache>
                <c:formatCode>0</c:formatCode>
                <c:ptCount val="5"/>
                <c:pt idx="0">
                  <c:v>7327.2100000000009</c:v>
                </c:pt>
                <c:pt idx="1">
                  <c:v>3234.6000000000004</c:v>
                </c:pt>
                <c:pt idx="2">
                  <c:v>3180.34</c:v>
                </c:pt>
                <c:pt idx="3">
                  <c:v>1085.68</c:v>
                </c:pt>
                <c:pt idx="4">
                  <c:v>464.25000000000006</c:v>
                </c:pt>
              </c:numCache>
            </c:numRef>
          </c:val>
          <c:extLst>
            <c:ext xmlns:c16="http://schemas.microsoft.com/office/drawing/2014/chart" uri="{C3380CC4-5D6E-409C-BE32-E72D297353CC}">
              <c16:uniqueId val="{00000000-712F-47DE-8571-896E11D45BF3}"/>
            </c:ext>
          </c:extLst>
        </c:ser>
        <c:dLbls>
          <c:dLblPos val="outEnd"/>
          <c:showLegendKey val="0"/>
          <c:showVal val="1"/>
          <c:showCatName val="0"/>
          <c:showSerName val="0"/>
          <c:showPercent val="0"/>
          <c:showBubbleSize val="0"/>
        </c:dLbls>
        <c:gapWidth val="182"/>
        <c:axId val="1550716159"/>
        <c:axId val="1300255120"/>
      </c:barChart>
      <c:catAx>
        <c:axId val="1550716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255120"/>
        <c:crosses val="autoZero"/>
        <c:auto val="1"/>
        <c:lblAlgn val="ctr"/>
        <c:lblOffset val="100"/>
        <c:noMultiLvlLbl val="0"/>
      </c:catAx>
      <c:valAx>
        <c:axId val="1300255120"/>
        <c:scaling>
          <c:orientation val="minMax"/>
        </c:scaling>
        <c:delete val="1"/>
        <c:axPos val="t"/>
        <c:numFmt formatCode="0" sourceLinked="1"/>
        <c:majorTickMark val="none"/>
        <c:minorTickMark val="none"/>
        <c:tickLblPos val="nextTo"/>
        <c:crossAx val="155071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control tower.xlsx]pivot!PivotTable7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b="1" baseline="0">
                <a:solidFill>
                  <a:sysClr val="windowText" lastClr="000000"/>
                </a:solidFill>
              </a:rPr>
              <a:t>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bar"/>
        <c:grouping val="clustered"/>
        <c:varyColors val="0"/>
        <c:ser>
          <c:idx val="0"/>
          <c:order val="0"/>
          <c:tx>
            <c:strRef>
              <c:f>pivot!$B$32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2875-4B4A-9FFF-F9054079321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2875-4B4A-9FFF-F90540793218}"/>
              </c:ext>
            </c:extLst>
          </c:dPt>
          <c:dPt>
            <c:idx val="2"/>
            <c:invertIfNegative val="0"/>
            <c:bubble3D val="0"/>
            <c:extLst>
              <c:ext xmlns:c16="http://schemas.microsoft.com/office/drawing/2014/chart" uri="{C3380CC4-5D6E-409C-BE32-E72D297353CC}">
                <c16:uniqueId val="{00000002-2875-4B4A-9FFF-F9054079321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0F6D-4153-9BEB-B8D36FDB7B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pivot!$A$33:$A$38</c:f>
              <c:strCache>
                <c:ptCount val="5"/>
                <c:pt idx="0">
                  <c:v>abr</c:v>
                </c:pt>
                <c:pt idx="1">
                  <c:v>mar</c:v>
                </c:pt>
                <c:pt idx="2">
                  <c:v>jun</c:v>
                </c:pt>
                <c:pt idx="3">
                  <c:v>may</c:v>
                </c:pt>
              </c:strCache>
            </c:strRef>
          </c:cat>
          <c:val>
            <c:numRef>
              <c:f>pivot!$B$33:$B$38</c:f>
              <c:numCache>
                <c:formatCode>0</c:formatCode>
                <c:ptCount val="5"/>
                <c:pt idx="0">
                  <c:v>5078.6900000000005</c:v>
                </c:pt>
                <c:pt idx="1">
                  <c:v>3183.8399999999997</c:v>
                </c:pt>
                <c:pt idx="2">
                  <c:v>1978.0399999999997</c:v>
                </c:pt>
                <c:pt idx="3">
                  <c:v>1585.2</c:v>
                </c:pt>
              </c:numCache>
            </c:numRef>
          </c:val>
          <c:extLst>
            <c:ext xmlns:c16="http://schemas.microsoft.com/office/drawing/2014/chart" uri="{C3380CC4-5D6E-409C-BE32-E72D297353CC}">
              <c16:uniqueId val="{00000000-795C-4781-8D9F-FE8AA3BA589A}"/>
            </c:ext>
          </c:extLst>
        </c:ser>
        <c:dLbls>
          <c:dLblPos val="outEnd"/>
          <c:showLegendKey val="0"/>
          <c:showVal val="1"/>
          <c:showCatName val="0"/>
          <c:showSerName val="0"/>
          <c:showPercent val="0"/>
          <c:showBubbleSize val="0"/>
        </c:dLbls>
        <c:gapWidth val="182"/>
        <c:axId val="947928528"/>
        <c:axId val="1612085359"/>
      </c:barChart>
      <c:catAx>
        <c:axId val="947928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85359"/>
        <c:crosses val="autoZero"/>
        <c:auto val="1"/>
        <c:lblAlgn val="ctr"/>
        <c:lblOffset val="100"/>
        <c:noMultiLvlLbl val="0"/>
      </c:catAx>
      <c:valAx>
        <c:axId val="1612085359"/>
        <c:scaling>
          <c:orientation val="minMax"/>
        </c:scaling>
        <c:delete val="1"/>
        <c:axPos val="t"/>
        <c:numFmt formatCode="0" sourceLinked="1"/>
        <c:majorTickMark val="none"/>
        <c:minorTickMark val="none"/>
        <c:tickLblPos val="nextTo"/>
        <c:crossAx val="9479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control tower.xlsx]pivot!PivotTable8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t>
            </a:r>
            <a:r>
              <a:rPr lang="en-US" b="1" baseline="0">
                <a:solidFill>
                  <a:sysClr val="windowText" lastClr="000000"/>
                </a:solidFill>
              </a:rPr>
              <a:t>partner company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pivot!$B$44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56F4-41DB-9130-51D95E0B764D}"/>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6F4-41DB-9130-51D95E0B764D}"/>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56F4-41DB-9130-51D95E0B764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56F4-41DB-9130-51D95E0B764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56F4-41DB-9130-51D95E0B76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pivot!$A$45:$A$50</c:f>
              <c:strCache>
                <c:ptCount val="5"/>
                <c:pt idx="0">
                  <c:v>PT Nusantara Supplier</c:v>
                </c:pt>
                <c:pt idx="1">
                  <c:v>PT Beverage Nusantara</c:v>
                </c:pt>
                <c:pt idx="2">
                  <c:v>PT Indo Fresh</c:v>
                </c:pt>
                <c:pt idx="3">
                  <c:v>PT Agro Raya</c:v>
                </c:pt>
                <c:pt idx="4">
                  <c:v>PT Segar Makmur</c:v>
                </c:pt>
              </c:strCache>
            </c:strRef>
          </c:cat>
          <c:val>
            <c:numRef>
              <c:f>pivot!$B$45:$B$50</c:f>
              <c:numCache>
                <c:formatCode>General</c:formatCode>
                <c:ptCount val="5"/>
                <c:pt idx="0">
                  <c:v>5</c:v>
                </c:pt>
                <c:pt idx="1">
                  <c:v>3</c:v>
                </c:pt>
                <c:pt idx="2">
                  <c:v>3</c:v>
                </c:pt>
                <c:pt idx="3">
                  <c:v>2</c:v>
                </c:pt>
                <c:pt idx="4">
                  <c:v>2</c:v>
                </c:pt>
              </c:numCache>
            </c:numRef>
          </c:val>
          <c:extLst>
            <c:ext xmlns:c16="http://schemas.microsoft.com/office/drawing/2014/chart" uri="{C3380CC4-5D6E-409C-BE32-E72D297353CC}">
              <c16:uniqueId val="{00000000-EF63-4B70-BE66-DE75E5C8897E}"/>
            </c:ext>
          </c:extLst>
        </c:ser>
        <c:dLbls>
          <c:dLblPos val="outEnd"/>
          <c:showLegendKey val="0"/>
          <c:showVal val="1"/>
          <c:showCatName val="0"/>
          <c:showSerName val="0"/>
          <c:showPercent val="0"/>
          <c:showBubbleSize val="0"/>
        </c:dLbls>
        <c:gapWidth val="219"/>
        <c:overlap val="-27"/>
        <c:axId val="1599712207"/>
        <c:axId val="1612121839"/>
      </c:barChart>
      <c:catAx>
        <c:axId val="159971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21839"/>
        <c:crosses val="autoZero"/>
        <c:auto val="1"/>
        <c:lblAlgn val="ctr"/>
        <c:lblOffset val="100"/>
        <c:noMultiLvlLbl val="0"/>
      </c:catAx>
      <c:valAx>
        <c:axId val="1612121839"/>
        <c:scaling>
          <c:orientation val="minMax"/>
        </c:scaling>
        <c:delete val="1"/>
        <c:axPos val="l"/>
        <c:numFmt formatCode="General" sourceLinked="1"/>
        <c:majorTickMark val="none"/>
        <c:minorTickMark val="none"/>
        <c:tickLblPos val="nextTo"/>
        <c:crossAx val="159971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control tower.xlsx]pivot!PivotTable5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most </a:t>
            </a:r>
            <a:r>
              <a:rPr lang="en-US" b="1" baseline="0">
                <a:solidFill>
                  <a:sysClr val="windowText" lastClr="000000"/>
                </a:solidFill>
              </a:rPr>
              <a:t>profitable product</a:t>
            </a:r>
            <a:endParaRPr lang="en-US" b="1">
              <a:solidFill>
                <a:sysClr val="windowText" lastClr="000000"/>
              </a:solidFill>
            </a:endParaRPr>
          </a:p>
        </c:rich>
      </c:tx>
      <c:layout>
        <c:manualLayout>
          <c:xMode val="edge"/>
          <c:yMode val="edge"/>
          <c:x val="0.19173442480529096"/>
          <c:y val="3.9603960396039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26978534346202321"/>
          <c:y val="0.26645114942528741"/>
          <c:w val="0.69350393700787405"/>
          <c:h val="0.65452586206896557"/>
        </c:manualLayout>
      </c:layout>
      <c:barChart>
        <c:barDir val="bar"/>
        <c:grouping val="clustered"/>
        <c:varyColors val="0"/>
        <c:ser>
          <c:idx val="0"/>
          <c:order val="0"/>
          <c:tx>
            <c:strRef>
              <c:f>pivot!$F$2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EF0B-4329-8D8C-8A35B12ADFC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EF0B-4329-8D8C-8A35B12ADFC2}"/>
              </c:ext>
            </c:extLst>
          </c:dPt>
          <c:dPt>
            <c:idx val="2"/>
            <c:invertIfNegative val="0"/>
            <c:bubble3D val="0"/>
            <c:extLst>
              <c:ext xmlns:c16="http://schemas.microsoft.com/office/drawing/2014/chart" uri="{C3380CC4-5D6E-409C-BE32-E72D297353CC}">
                <c16:uniqueId val="{00000002-EF0B-4329-8D8C-8A35B12ADFC2}"/>
              </c:ext>
            </c:extLst>
          </c:dPt>
          <c:dPt>
            <c:idx val="3"/>
            <c:invertIfNegative val="0"/>
            <c:bubble3D val="0"/>
            <c:extLst>
              <c:ext xmlns:c16="http://schemas.microsoft.com/office/drawing/2014/chart" uri="{C3380CC4-5D6E-409C-BE32-E72D297353CC}">
                <c16:uniqueId val="{00000003-EF0B-4329-8D8C-8A35B12ADFC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EF0B-4329-8D8C-8A35B12ADF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pivot!$E$3:$E$8</c:f>
              <c:strCache>
                <c:ptCount val="5"/>
                <c:pt idx="0">
                  <c:v>Waste Paper</c:v>
                </c:pt>
                <c:pt idx="1">
                  <c:v>Dairy</c:v>
                </c:pt>
                <c:pt idx="2">
                  <c:v>Seafood</c:v>
                </c:pt>
                <c:pt idx="3">
                  <c:v>Beverages</c:v>
                </c:pt>
                <c:pt idx="4">
                  <c:v>Coffe Maker</c:v>
                </c:pt>
              </c:strCache>
            </c:strRef>
          </c:cat>
          <c:val>
            <c:numRef>
              <c:f>pivot!$F$3:$F$8</c:f>
              <c:numCache>
                <c:formatCode>General</c:formatCode>
                <c:ptCount val="5"/>
                <c:pt idx="0">
                  <c:v>286.57999999999987</c:v>
                </c:pt>
                <c:pt idx="1">
                  <c:v>188.02</c:v>
                </c:pt>
                <c:pt idx="2">
                  <c:v>157.49999999999983</c:v>
                </c:pt>
                <c:pt idx="3">
                  <c:v>154.04999999999995</c:v>
                </c:pt>
                <c:pt idx="4">
                  <c:v>135.16000000000003</c:v>
                </c:pt>
              </c:numCache>
            </c:numRef>
          </c:val>
          <c:extLst>
            <c:ext xmlns:c16="http://schemas.microsoft.com/office/drawing/2014/chart" uri="{C3380CC4-5D6E-409C-BE32-E72D297353CC}">
              <c16:uniqueId val="{00000000-3749-444F-8C7C-3008694D0479}"/>
            </c:ext>
          </c:extLst>
        </c:ser>
        <c:dLbls>
          <c:dLblPos val="outEnd"/>
          <c:showLegendKey val="0"/>
          <c:showVal val="1"/>
          <c:showCatName val="0"/>
          <c:showSerName val="0"/>
          <c:showPercent val="0"/>
          <c:showBubbleSize val="0"/>
        </c:dLbls>
        <c:gapWidth val="182"/>
        <c:axId val="947922496"/>
        <c:axId val="941905488"/>
      </c:barChart>
      <c:catAx>
        <c:axId val="947922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05488"/>
        <c:crosses val="autoZero"/>
        <c:auto val="1"/>
        <c:lblAlgn val="ctr"/>
        <c:lblOffset val="100"/>
        <c:noMultiLvlLbl val="0"/>
      </c:catAx>
      <c:valAx>
        <c:axId val="941905488"/>
        <c:scaling>
          <c:orientation val="minMax"/>
        </c:scaling>
        <c:delete val="1"/>
        <c:axPos val="t"/>
        <c:numFmt formatCode="General" sourceLinked="1"/>
        <c:majorTickMark val="none"/>
        <c:minorTickMark val="none"/>
        <c:tickLblPos val="nextTo"/>
        <c:crossAx val="94792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1.xml"/><Relationship Id="rId3" Type="http://schemas.openxmlformats.org/officeDocument/2006/relationships/hyperlink" Target="#Dashboard!A1"/><Relationship Id="rId21" Type="http://schemas.openxmlformats.org/officeDocument/2006/relationships/chart" Target="../charts/chart4.xml"/><Relationship Id="rId7" Type="http://schemas.openxmlformats.org/officeDocument/2006/relationships/hyperlink" Target="#Suppliers!A1"/><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hyperlink" Target="#Sales!A1"/><Relationship Id="rId11" Type="http://schemas.openxmlformats.org/officeDocument/2006/relationships/image" Target="../media/image6.svg"/><Relationship Id="rId5" Type="http://schemas.openxmlformats.org/officeDocument/2006/relationships/hyperlink" Target="#Purchase!A1"/><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2.xml"/><Relationship Id="rId4" Type="http://schemas.openxmlformats.org/officeDocument/2006/relationships/hyperlink" Target="#Inventory!A1"/><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hyperlink" Target="#Dashboard!A1"/><Relationship Id="rId7" Type="http://schemas.openxmlformats.org/officeDocument/2006/relationships/hyperlink" Target="#Suppliers!A1"/><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hyperlink" Target="#Sales!A1"/><Relationship Id="rId11" Type="http://schemas.openxmlformats.org/officeDocument/2006/relationships/image" Target="../media/image14.svg"/><Relationship Id="rId5" Type="http://schemas.openxmlformats.org/officeDocument/2006/relationships/hyperlink" Target="#Purchase!A1"/><Relationship Id="rId15" Type="http://schemas.openxmlformats.org/officeDocument/2006/relationships/image" Target="../media/image10.svg"/><Relationship Id="rId10" Type="http://schemas.openxmlformats.org/officeDocument/2006/relationships/image" Target="../media/image13.png"/><Relationship Id="rId4" Type="http://schemas.openxmlformats.org/officeDocument/2006/relationships/hyperlink" Target="#Inventory!A1"/><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6.svg"/><Relationship Id="rId3" Type="http://schemas.openxmlformats.org/officeDocument/2006/relationships/hyperlink" Target="#Dashboard!A1"/><Relationship Id="rId7" Type="http://schemas.openxmlformats.org/officeDocument/2006/relationships/hyperlink" Target="#Suppliers!A1"/><Relationship Id="rId12" Type="http://schemas.openxmlformats.org/officeDocument/2006/relationships/image" Target="../media/image15.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hyperlink" Target="#Sales!A1"/><Relationship Id="rId11" Type="http://schemas.openxmlformats.org/officeDocument/2006/relationships/image" Target="../media/image6.svg"/><Relationship Id="rId5" Type="http://schemas.openxmlformats.org/officeDocument/2006/relationships/hyperlink" Target="#Purchase!A1"/><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hyperlink" Target="#Inventory!A1"/><Relationship Id="rId9" Type="http://schemas.openxmlformats.org/officeDocument/2006/relationships/image" Target="../media/image4.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hyperlink" Target="#Dashboard!A1"/><Relationship Id="rId7" Type="http://schemas.openxmlformats.org/officeDocument/2006/relationships/hyperlink" Target="#Suppliers!A1"/><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hyperlink" Target="#Sales!A1"/><Relationship Id="rId11" Type="http://schemas.openxmlformats.org/officeDocument/2006/relationships/image" Target="../media/image6.svg"/><Relationship Id="rId5" Type="http://schemas.openxmlformats.org/officeDocument/2006/relationships/hyperlink" Target="#Purchase!A1"/><Relationship Id="rId15" Type="http://schemas.openxmlformats.org/officeDocument/2006/relationships/image" Target="../media/image18.svg"/><Relationship Id="rId10" Type="http://schemas.openxmlformats.org/officeDocument/2006/relationships/image" Target="../media/image5.png"/><Relationship Id="rId4" Type="http://schemas.openxmlformats.org/officeDocument/2006/relationships/hyperlink" Target="#Inventory!A1"/><Relationship Id="rId9" Type="http://schemas.openxmlformats.org/officeDocument/2006/relationships/image" Target="../media/image4.svg"/><Relationship Id="rId1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hyperlink" Target="#Dashboard!A1"/><Relationship Id="rId7" Type="http://schemas.openxmlformats.org/officeDocument/2006/relationships/hyperlink" Target="#Suppliers!A1"/><Relationship Id="rId12" Type="http://schemas.openxmlformats.org/officeDocument/2006/relationships/image" Target="../media/image7.png"/><Relationship Id="rId17" Type="http://schemas.openxmlformats.org/officeDocument/2006/relationships/image" Target="../media/image20.svg"/><Relationship Id="rId2" Type="http://schemas.openxmlformats.org/officeDocument/2006/relationships/image" Target="../media/image2.svg"/><Relationship Id="rId16"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hyperlink" Target="#Sales!A1"/><Relationship Id="rId11" Type="http://schemas.openxmlformats.org/officeDocument/2006/relationships/image" Target="../media/image6.svg"/><Relationship Id="rId5" Type="http://schemas.openxmlformats.org/officeDocument/2006/relationships/hyperlink" Target="#Purchase!A1"/><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hyperlink" Target="#Inventory!A1"/><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381000</xdr:colOff>
      <xdr:row>1</xdr:row>
      <xdr:rowOff>53340</xdr:rowOff>
    </xdr:from>
    <xdr:to>
      <xdr:col>1</xdr:col>
      <xdr:colOff>1280160</xdr:colOff>
      <xdr:row>5</xdr:row>
      <xdr:rowOff>83820</xdr:rowOff>
    </xdr:to>
    <xdr:pic>
      <xdr:nvPicPr>
        <xdr:cNvPr id="3" name="Graphic 2" descr="Search Inventory with solid fill">
          <a:extLst>
            <a:ext uri="{FF2B5EF4-FFF2-40B4-BE49-F238E27FC236}">
              <a16:creationId xmlns:a16="http://schemas.microsoft.com/office/drawing/2014/main" id="{6860E656-4ABA-AC4E-CA90-CB1381634B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335280"/>
          <a:ext cx="899160" cy="784860"/>
        </a:xfrm>
        <a:prstGeom prst="rect">
          <a:avLst/>
        </a:prstGeom>
      </xdr:spPr>
    </xdr:pic>
    <xdr:clientData/>
  </xdr:twoCellAnchor>
  <xdr:twoCellAnchor>
    <xdr:from>
      <xdr:col>1</xdr:col>
      <xdr:colOff>45720</xdr:colOff>
      <xdr:row>6</xdr:row>
      <xdr:rowOff>60960</xdr:rowOff>
    </xdr:from>
    <xdr:to>
      <xdr:col>1</xdr:col>
      <xdr:colOff>1767840</xdr:colOff>
      <xdr:row>9</xdr:row>
      <xdr:rowOff>76200</xdr:rowOff>
    </xdr:to>
    <xdr:sp macro="" textlink="">
      <xdr:nvSpPr>
        <xdr:cNvPr id="4" name="Rectangle 3">
          <a:extLst>
            <a:ext uri="{FF2B5EF4-FFF2-40B4-BE49-F238E27FC236}">
              <a16:creationId xmlns:a16="http://schemas.microsoft.com/office/drawing/2014/main" id="{FECBC658-0D82-FAED-2AB9-83D26EBBC16F}"/>
            </a:ext>
          </a:extLst>
        </xdr:cNvPr>
        <xdr:cNvSpPr/>
      </xdr:nvSpPr>
      <xdr:spPr>
        <a:xfrm>
          <a:off x="365760" y="1257300"/>
          <a:ext cx="1722120" cy="5638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Inventory Management</a:t>
          </a:r>
          <a:r>
            <a:rPr lang="en-US" sz="1400" b="1" baseline="0"/>
            <a:t> System</a:t>
          </a:r>
          <a:endParaRPr lang="en-US" sz="1400" b="1"/>
        </a:p>
      </xdr:txBody>
    </xdr:sp>
    <xdr:clientData/>
  </xdr:twoCellAnchor>
  <xdr:twoCellAnchor>
    <xdr:from>
      <xdr:col>1</xdr:col>
      <xdr:colOff>592454</xdr:colOff>
      <xdr:row>10</xdr:row>
      <xdr:rowOff>83820</xdr:rowOff>
    </xdr:from>
    <xdr:to>
      <xdr:col>1</xdr:col>
      <xdr:colOff>1598294</xdr:colOff>
      <xdr:row>12</xdr:row>
      <xdr:rowOff>53340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3CA35A09-4F73-4B6C-85C5-C4C2A5B61D16}"/>
            </a:ext>
          </a:extLst>
        </xdr:cNvPr>
        <xdr:cNvSpPr/>
      </xdr:nvSpPr>
      <xdr:spPr>
        <a:xfrm>
          <a:off x="912494" y="2011680"/>
          <a:ext cx="1005840" cy="3352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Dashboard</a:t>
          </a:r>
        </a:p>
      </xdr:txBody>
    </xdr:sp>
    <xdr:clientData/>
  </xdr:twoCellAnchor>
  <xdr:twoCellAnchor>
    <xdr:from>
      <xdr:col>1</xdr:col>
      <xdr:colOff>592454</xdr:colOff>
      <xdr:row>12</xdr:row>
      <xdr:rowOff>110490</xdr:rowOff>
    </xdr:from>
    <xdr:to>
      <xdr:col>1</xdr:col>
      <xdr:colOff>1644014</xdr:colOff>
      <xdr:row>14</xdr:row>
      <xdr:rowOff>64770</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21ECC08-476F-47B2-AE45-33C4000FF9BB}"/>
            </a:ext>
          </a:extLst>
        </xdr:cNvPr>
        <xdr:cNvSpPr/>
      </xdr:nvSpPr>
      <xdr:spPr>
        <a:xfrm>
          <a:off x="912494" y="2404110"/>
          <a:ext cx="10515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D89A262A-BF3A-4121-A01C-72B4DF71E63B}"/>
            </a:ext>
          </a:extLst>
        </xdr:cNvPr>
        <xdr:cNvSpPr/>
      </xdr:nvSpPr>
      <xdr:spPr>
        <a:xfrm>
          <a:off x="912494" y="278130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Purchase</a:t>
          </a:r>
        </a:p>
      </xdr:txBody>
    </xdr:sp>
    <xdr:clientData/>
  </xdr:twoCellAnchor>
  <xdr:twoCellAnchor>
    <xdr:from>
      <xdr:col>1</xdr:col>
      <xdr:colOff>592454</xdr:colOff>
      <xdr:row>16</xdr:row>
      <xdr:rowOff>133350</xdr:rowOff>
    </xdr:from>
    <xdr:to>
      <xdr:col>1</xdr:col>
      <xdr:colOff>1583055</xdr:colOff>
      <xdr:row>18</xdr:row>
      <xdr:rowOff>125730</xdr:rowOff>
    </xdr:to>
    <xdr:sp macro="" textlink="">
      <xdr:nvSpPr>
        <xdr:cNvPr id="8" name="Rectangle 7">
          <a:hlinkClick xmlns:r="http://schemas.openxmlformats.org/officeDocument/2006/relationships" r:id="rId6"/>
          <a:extLst>
            <a:ext uri="{FF2B5EF4-FFF2-40B4-BE49-F238E27FC236}">
              <a16:creationId xmlns:a16="http://schemas.microsoft.com/office/drawing/2014/main" id="{EDC8032D-6F13-418F-B9E0-2C716B1F7FA5}"/>
            </a:ext>
          </a:extLst>
        </xdr:cNvPr>
        <xdr:cNvSpPr/>
      </xdr:nvSpPr>
      <xdr:spPr>
        <a:xfrm>
          <a:off x="912494" y="3158490"/>
          <a:ext cx="990601" cy="3581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Sales</a:t>
          </a:r>
        </a:p>
      </xdr:txBody>
    </xdr:sp>
    <xdr:clientData/>
  </xdr:twoCellAnchor>
  <xdr:twoCellAnchor>
    <xdr:from>
      <xdr:col>1</xdr:col>
      <xdr:colOff>592454</xdr:colOff>
      <xdr:row>19</xdr:row>
      <xdr:rowOff>0</xdr:rowOff>
    </xdr:from>
    <xdr:to>
      <xdr:col>1</xdr:col>
      <xdr:colOff>1636393</xdr:colOff>
      <xdr:row>20</xdr:row>
      <xdr:rowOff>137160</xdr:rowOff>
    </xdr:to>
    <xdr:sp macro="" textlink="">
      <xdr:nvSpPr>
        <xdr:cNvPr id="9" name="Rectangle 8">
          <a:hlinkClick xmlns:r="http://schemas.openxmlformats.org/officeDocument/2006/relationships" r:id="rId7"/>
          <a:extLst>
            <a:ext uri="{FF2B5EF4-FFF2-40B4-BE49-F238E27FC236}">
              <a16:creationId xmlns:a16="http://schemas.microsoft.com/office/drawing/2014/main" id="{652AEE79-DAD7-40F9-9F01-BB9BB36AE385}"/>
            </a:ext>
          </a:extLst>
        </xdr:cNvPr>
        <xdr:cNvSpPr/>
      </xdr:nvSpPr>
      <xdr:spPr>
        <a:xfrm>
          <a:off x="912494" y="3573780"/>
          <a:ext cx="1043939"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Supplier</a:t>
          </a:r>
        </a:p>
      </xdr:txBody>
    </xdr:sp>
    <xdr:clientData/>
  </xdr:twoCellAnchor>
  <xdr:twoCellAnchor editAs="oneCell">
    <xdr:from>
      <xdr:col>1</xdr:col>
      <xdr:colOff>60960</xdr:colOff>
      <xdr:row>10</xdr:row>
      <xdr:rowOff>114300</xdr:rowOff>
    </xdr:from>
    <xdr:to>
      <xdr:col>1</xdr:col>
      <xdr:colOff>240960</xdr:colOff>
      <xdr:row>11</xdr:row>
      <xdr:rowOff>111420</xdr:rowOff>
    </xdr:to>
    <xdr:pic>
      <xdr:nvPicPr>
        <xdr:cNvPr id="13" name="Graphic 12" descr="Bar chart with solid fill">
          <a:extLst>
            <a:ext uri="{FF2B5EF4-FFF2-40B4-BE49-F238E27FC236}">
              <a16:creationId xmlns:a16="http://schemas.microsoft.com/office/drawing/2014/main" id="{8DB3ABF1-210A-26C7-9238-02754BBDEE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0" y="2042160"/>
          <a:ext cx="180000" cy="180000"/>
        </a:xfrm>
        <a:prstGeom prst="rect">
          <a:avLst/>
        </a:prstGeom>
      </xdr:spPr>
    </xdr:pic>
    <xdr:clientData/>
  </xdr:twoCellAnchor>
  <xdr:twoCellAnchor editAs="oneCell">
    <xdr:from>
      <xdr:col>1</xdr:col>
      <xdr:colOff>60960</xdr:colOff>
      <xdr:row>12</xdr:row>
      <xdr:rowOff>167640</xdr:rowOff>
    </xdr:from>
    <xdr:to>
      <xdr:col>1</xdr:col>
      <xdr:colOff>240960</xdr:colOff>
      <xdr:row>13</xdr:row>
      <xdr:rowOff>164760</xdr:rowOff>
    </xdr:to>
    <xdr:pic>
      <xdr:nvPicPr>
        <xdr:cNvPr id="17" name="Graphic 16" descr="Clipboard Checked outline">
          <a:extLst>
            <a:ext uri="{FF2B5EF4-FFF2-40B4-BE49-F238E27FC236}">
              <a16:creationId xmlns:a16="http://schemas.microsoft.com/office/drawing/2014/main" id="{E36C950C-5F7A-3142-06A7-87C4A40596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461260"/>
          <a:ext cx="180000" cy="180000"/>
        </a:xfrm>
        <a:prstGeom prst="rect">
          <a:avLst/>
        </a:prstGeom>
      </xdr:spPr>
    </xdr:pic>
    <xdr:clientData/>
  </xdr:twoCellAnchor>
  <xdr:twoCellAnchor editAs="oneCell">
    <xdr:from>
      <xdr:col>1</xdr:col>
      <xdr:colOff>60960</xdr:colOff>
      <xdr:row>15</xdr:row>
      <xdr:rowOff>30480</xdr:rowOff>
    </xdr:from>
    <xdr:to>
      <xdr:col>1</xdr:col>
      <xdr:colOff>240960</xdr:colOff>
      <xdr:row>16</xdr:row>
      <xdr:rowOff>27600</xdr:rowOff>
    </xdr:to>
    <xdr:pic>
      <xdr:nvPicPr>
        <xdr:cNvPr id="19" name="Graphic 18" descr="Register outline">
          <a:extLst>
            <a:ext uri="{FF2B5EF4-FFF2-40B4-BE49-F238E27FC236}">
              <a16:creationId xmlns:a16="http://schemas.microsoft.com/office/drawing/2014/main" id="{79DB2154-DD97-D29D-082F-8090265E3B0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72740"/>
          <a:ext cx="180000" cy="180000"/>
        </a:xfrm>
        <a:prstGeom prst="rect">
          <a:avLst/>
        </a:prstGeom>
      </xdr:spPr>
    </xdr:pic>
    <xdr:clientData/>
  </xdr:twoCellAnchor>
  <xdr:twoCellAnchor editAs="oneCell">
    <xdr:from>
      <xdr:col>1</xdr:col>
      <xdr:colOff>60960</xdr:colOff>
      <xdr:row>17</xdr:row>
      <xdr:rowOff>60960</xdr:rowOff>
    </xdr:from>
    <xdr:to>
      <xdr:col>1</xdr:col>
      <xdr:colOff>240960</xdr:colOff>
      <xdr:row>18</xdr:row>
      <xdr:rowOff>58080</xdr:rowOff>
    </xdr:to>
    <xdr:pic>
      <xdr:nvPicPr>
        <xdr:cNvPr id="21" name="Graphic 20" descr="Receipt outline">
          <a:extLst>
            <a:ext uri="{FF2B5EF4-FFF2-40B4-BE49-F238E27FC236}">
              <a16:creationId xmlns:a16="http://schemas.microsoft.com/office/drawing/2014/main" id="{6D7AB5ED-0BFB-111F-0E62-C871E2E611A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0" y="3268980"/>
          <a:ext cx="180000" cy="180000"/>
        </a:xfrm>
        <a:prstGeom prst="rect">
          <a:avLst/>
        </a:prstGeom>
      </xdr:spPr>
    </xdr:pic>
    <xdr:clientData/>
  </xdr:twoCellAnchor>
  <xdr:twoCellAnchor editAs="oneCell">
    <xdr:from>
      <xdr:col>1</xdr:col>
      <xdr:colOff>60960</xdr:colOff>
      <xdr:row>19</xdr:row>
      <xdr:rowOff>45720</xdr:rowOff>
    </xdr:from>
    <xdr:to>
      <xdr:col>1</xdr:col>
      <xdr:colOff>240960</xdr:colOff>
      <xdr:row>20</xdr:row>
      <xdr:rowOff>42840</xdr:rowOff>
    </xdr:to>
    <xdr:pic>
      <xdr:nvPicPr>
        <xdr:cNvPr id="23" name="Graphic 22" descr="User with solid fill">
          <a:extLst>
            <a:ext uri="{FF2B5EF4-FFF2-40B4-BE49-F238E27FC236}">
              <a16:creationId xmlns:a16="http://schemas.microsoft.com/office/drawing/2014/main" id="{4351C27B-82FA-CE5F-458F-001081C498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1000" y="3619500"/>
          <a:ext cx="180000" cy="180000"/>
        </a:xfrm>
        <a:prstGeom prst="rect">
          <a:avLst/>
        </a:prstGeom>
      </xdr:spPr>
    </xdr:pic>
    <xdr:clientData/>
  </xdr:twoCellAnchor>
  <xdr:twoCellAnchor editAs="absolute">
    <xdr:from>
      <xdr:col>2</xdr:col>
      <xdr:colOff>167624</xdr:colOff>
      <xdr:row>1</xdr:row>
      <xdr:rowOff>7620</xdr:rowOff>
    </xdr:from>
    <xdr:to>
      <xdr:col>13</xdr:col>
      <xdr:colOff>4442460</xdr:colOff>
      <xdr:row>3</xdr:row>
      <xdr:rowOff>167640</xdr:rowOff>
    </xdr:to>
    <xdr:sp macro="" textlink="">
      <xdr:nvSpPr>
        <xdr:cNvPr id="24" name="Rectangle 23">
          <a:extLst>
            <a:ext uri="{FF2B5EF4-FFF2-40B4-BE49-F238E27FC236}">
              <a16:creationId xmlns:a16="http://schemas.microsoft.com/office/drawing/2014/main" id="{DB8C9BF2-26D6-D799-15A2-23E26952E354}"/>
            </a:ext>
          </a:extLst>
        </xdr:cNvPr>
        <xdr:cNvSpPr/>
      </xdr:nvSpPr>
      <xdr:spPr>
        <a:xfrm>
          <a:off x="2270744" y="289560"/>
          <a:ext cx="12405376" cy="5257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b="1"/>
            <a:t>           </a:t>
          </a:r>
          <a:r>
            <a:rPr lang="en-US" sz="3600" b="1"/>
            <a:t>Inventory Management</a:t>
          </a:r>
          <a:r>
            <a:rPr lang="en-US" sz="3600" b="1" baseline="0"/>
            <a:t> system</a:t>
          </a:r>
          <a:endParaRPr lang="en-US" sz="3600" b="1"/>
        </a:p>
      </xdr:txBody>
    </xdr:sp>
    <xdr:clientData/>
  </xdr:twoCellAnchor>
  <xdr:twoCellAnchor>
    <xdr:from>
      <xdr:col>2</xdr:col>
      <xdr:colOff>167624</xdr:colOff>
      <xdr:row>4</xdr:row>
      <xdr:rowOff>24165</xdr:rowOff>
    </xdr:from>
    <xdr:to>
      <xdr:col>4</xdr:col>
      <xdr:colOff>454524</xdr:colOff>
      <xdr:row>7</xdr:row>
      <xdr:rowOff>69885</xdr:rowOff>
    </xdr:to>
    <xdr:sp macro="" textlink="">
      <xdr:nvSpPr>
        <xdr:cNvPr id="2" name="Rectangle 1">
          <a:extLst>
            <a:ext uri="{FF2B5EF4-FFF2-40B4-BE49-F238E27FC236}">
              <a16:creationId xmlns:a16="http://schemas.microsoft.com/office/drawing/2014/main" id="{2D389B51-FD34-3D24-098A-CE46C84B09B5}"/>
            </a:ext>
          </a:extLst>
        </xdr:cNvPr>
        <xdr:cNvSpPr/>
      </xdr:nvSpPr>
      <xdr:spPr>
        <a:xfrm>
          <a:off x="2270744" y="854745"/>
          <a:ext cx="1300360" cy="61722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Ttttt</a:t>
          </a:r>
        </a:p>
      </xdr:txBody>
    </xdr:sp>
    <xdr:clientData/>
  </xdr:twoCellAnchor>
  <xdr:twoCellAnchor>
    <xdr:from>
      <xdr:col>2</xdr:col>
      <xdr:colOff>175244</xdr:colOff>
      <xdr:row>4</xdr:row>
      <xdr:rowOff>22176</xdr:rowOff>
    </xdr:from>
    <xdr:to>
      <xdr:col>3</xdr:col>
      <xdr:colOff>34287</xdr:colOff>
      <xdr:row>7</xdr:row>
      <xdr:rowOff>67896</xdr:rowOff>
    </xdr:to>
    <xdr:sp macro="" textlink="">
      <xdr:nvSpPr>
        <xdr:cNvPr id="10" name="Rectangle 9">
          <a:extLst>
            <a:ext uri="{FF2B5EF4-FFF2-40B4-BE49-F238E27FC236}">
              <a16:creationId xmlns:a16="http://schemas.microsoft.com/office/drawing/2014/main" id="{95C8E8B1-A304-498C-9F10-A0D2299A9DC9}"/>
            </a:ext>
          </a:extLst>
        </xdr:cNvPr>
        <xdr:cNvSpPr/>
      </xdr:nvSpPr>
      <xdr:spPr>
        <a:xfrm>
          <a:off x="2278364" y="852756"/>
          <a:ext cx="125743" cy="617220"/>
        </a:xfrm>
        <a:prstGeom prst="rect">
          <a:avLst/>
        </a:prstGeom>
        <a:solidFill>
          <a:schemeClr val="tx2">
            <a:lumMod val="10000"/>
            <a:lumOff val="9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536660</xdr:colOff>
      <xdr:row>4</xdr:row>
      <xdr:rowOff>24165</xdr:rowOff>
    </xdr:from>
    <xdr:to>
      <xdr:col>6</xdr:col>
      <xdr:colOff>92040</xdr:colOff>
      <xdr:row>7</xdr:row>
      <xdr:rowOff>77505</xdr:rowOff>
    </xdr:to>
    <xdr:sp macro="" textlink="">
      <xdr:nvSpPr>
        <xdr:cNvPr id="18" name="Rectangle 17">
          <a:extLst>
            <a:ext uri="{FF2B5EF4-FFF2-40B4-BE49-F238E27FC236}">
              <a16:creationId xmlns:a16="http://schemas.microsoft.com/office/drawing/2014/main" id="{208FA9C9-9ACF-4F2C-8897-D515104A8E8C}"/>
            </a:ext>
          </a:extLst>
        </xdr:cNvPr>
        <xdr:cNvSpPr/>
      </xdr:nvSpPr>
      <xdr:spPr>
        <a:xfrm>
          <a:off x="3653240" y="854745"/>
          <a:ext cx="130036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CV</a:t>
          </a:r>
        </a:p>
      </xdr:txBody>
    </xdr:sp>
    <xdr:clientData/>
  </xdr:twoCellAnchor>
  <xdr:twoCellAnchor>
    <xdr:from>
      <xdr:col>3</xdr:col>
      <xdr:colOff>121904</xdr:colOff>
      <xdr:row>4</xdr:row>
      <xdr:rowOff>16310</xdr:rowOff>
    </xdr:from>
    <xdr:to>
      <xdr:col>4</xdr:col>
      <xdr:colOff>194590</xdr:colOff>
      <xdr:row>5</xdr:row>
      <xdr:rowOff>97990</xdr:rowOff>
    </xdr:to>
    <xdr:sp macro="" textlink="">
      <xdr:nvSpPr>
        <xdr:cNvPr id="47" name="TextBox 46">
          <a:extLst>
            <a:ext uri="{FF2B5EF4-FFF2-40B4-BE49-F238E27FC236}">
              <a16:creationId xmlns:a16="http://schemas.microsoft.com/office/drawing/2014/main" id="{EF1C0FE9-AEED-74E4-6854-9896D70D1F80}"/>
            </a:ext>
          </a:extLst>
        </xdr:cNvPr>
        <xdr:cNvSpPr txBox="1"/>
      </xdr:nvSpPr>
      <xdr:spPr>
        <a:xfrm>
          <a:off x="2491724" y="846890"/>
          <a:ext cx="819446" cy="287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Total Sales</a:t>
          </a:r>
        </a:p>
      </xdr:txBody>
    </xdr:sp>
    <xdr:clientData/>
  </xdr:twoCellAnchor>
  <xdr:twoCellAnchor>
    <xdr:from>
      <xdr:col>4</xdr:col>
      <xdr:colOff>545406</xdr:colOff>
      <xdr:row>4</xdr:row>
      <xdr:rowOff>37416</xdr:rowOff>
    </xdr:from>
    <xdr:to>
      <xdr:col>4</xdr:col>
      <xdr:colOff>671149</xdr:colOff>
      <xdr:row>7</xdr:row>
      <xdr:rowOff>83136</xdr:rowOff>
    </xdr:to>
    <xdr:sp macro="" textlink="">
      <xdr:nvSpPr>
        <xdr:cNvPr id="57" name="Rectangle 56">
          <a:extLst>
            <a:ext uri="{FF2B5EF4-FFF2-40B4-BE49-F238E27FC236}">
              <a16:creationId xmlns:a16="http://schemas.microsoft.com/office/drawing/2014/main" id="{498F8E85-6EA8-845C-5ABE-A2EAA68CABDC}"/>
            </a:ext>
          </a:extLst>
        </xdr:cNvPr>
        <xdr:cNvSpPr/>
      </xdr:nvSpPr>
      <xdr:spPr>
        <a:xfrm>
          <a:off x="3661986" y="867996"/>
          <a:ext cx="125743" cy="617220"/>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811545</xdr:colOff>
      <xdr:row>4</xdr:row>
      <xdr:rowOff>16310</xdr:rowOff>
    </xdr:from>
    <xdr:to>
      <xdr:col>5</xdr:col>
      <xdr:colOff>579452</xdr:colOff>
      <xdr:row>5</xdr:row>
      <xdr:rowOff>77270</xdr:rowOff>
    </xdr:to>
    <xdr:sp macro="" textlink="">
      <xdr:nvSpPr>
        <xdr:cNvPr id="59" name="TextBox 58">
          <a:extLst>
            <a:ext uri="{FF2B5EF4-FFF2-40B4-BE49-F238E27FC236}">
              <a16:creationId xmlns:a16="http://schemas.microsoft.com/office/drawing/2014/main" id="{9619E4F0-9ACD-4DA7-0136-E3A260884ADF}"/>
            </a:ext>
          </a:extLst>
        </xdr:cNvPr>
        <xdr:cNvSpPr txBox="1"/>
      </xdr:nvSpPr>
      <xdr:spPr>
        <a:xfrm>
          <a:off x="3928125" y="846890"/>
          <a:ext cx="788987"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Total Profit</a:t>
          </a:r>
        </a:p>
      </xdr:txBody>
    </xdr:sp>
    <xdr:clientData/>
  </xdr:twoCellAnchor>
  <xdr:twoCellAnchor>
    <xdr:from>
      <xdr:col>6</xdr:col>
      <xdr:colOff>167664</xdr:colOff>
      <xdr:row>4</xdr:row>
      <xdr:rowOff>24165</xdr:rowOff>
    </xdr:from>
    <xdr:to>
      <xdr:col>7</xdr:col>
      <xdr:colOff>858424</xdr:colOff>
      <xdr:row>7</xdr:row>
      <xdr:rowOff>77505</xdr:rowOff>
    </xdr:to>
    <xdr:sp macro="" textlink="">
      <xdr:nvSpPr>
        <xdr:cNvPr id="66" name="Rectangle 65">
          <a:extLst>
            <a:ext uri="{FF2B5EF4-FFF2-40B4-BE49-F238E27FC236}">
              <a16:creationId xmlns:a16="http://schemas.microsoft.com/office/drawing/2014/main" id="{04B1217F-40BE-4015-9E8F-C12E5A999197}"/>
            </a:ext>
          </a:extLst>
        </xdr:cNvPr>
        <xdr:cNvSpPr/>
      </xdr:nvSpPr>
      <xdr:spPr>
        <a:xfrm>
          <a:off x="5029224" y="854745"/>
          <a:ext cx="130036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CV</a:t>
          </a:r>
        </a:p>
      </xdr:txBody>
    </xdr:sp>
    <xdr:clientData/>
  </xdr:twoCellAnchor>
  <xdr:twoCellAnchor>
    <xdr:from>
      <xdr:col>6</xdr:col>
      <xdr:colOff>184031</xdr:colOff>
      <xdr:row>4</xdr:row>
      <xdr:rowOff>22176</xdr:rowOff>
    </xdr:from>
    <xdr:to>
      <xdr:col>6</xdr:col>
      <xdr:colOff>309774</xdr:colOff>
      <xdr:row>7</xdr:row>
      <xdr:rowOff>67896</xdr:rowOff>
    </xdr:to>
    <xdr:sp macro="" textlink="">
      <xdr:nvSpPr>
        <xdr:cNvPr id="67" name="Rectangle 66">
          <a:extLst>
            <a:ext uri="{FF2B5EF4-FFF2-40B4-BE49-F238E27FC236}">
              <a16:creationId xmlns:a16="http://schemas.microsoft.com/office/drawing/2014/main" id="{A840CC6B-F572-4335-833D-4FED23E305D9}"/>
            </a:ext>
          </a:extLst>
        </xdr:cNvPr>
        <xdr:cNvSpPr/>
      </xdr:nvSpPr>
      <xdr:spPr>
        <a:xfrm>
          <a:off x="5045591" y="852756"/>
          <a:ext cx="125743" cy="617220"/>
        </a:xfrm>
        <a:prstGeom prst="rect">
          <a:avLst/>
        </a:prstGeom>
        <a:solidFill>
          <a:schemeClr val="tx2">
            <a:lumMod val="10000"/>
            <a:lumOff val="9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237245</xdr:colOff>
      <xdr:row>4</xdr:row>
      <xdr:rowOff>16310</xdr:rowOff>
    </xdr:from>
    <xdr:to>
      <xdr:col>7</xdr:col>
      <xdr:colOff>973631</xdr:colOff>
      <xdr:row>5</xdr:row>
      <xdr:rowOff>82281</xdr:rowOff>
    </xdr:to>
    <xdr:sp macro="" textlink="">
      <xdr:nvSpPr>
        <xdr:cNvPr id="68" name="TextBox 67">
          <a:extLst>
            <a:ext uri="{FF2B5EF4-FFF2-40B4-BE49-F238E27FC236}">
              <a16:creationId xmlns:a16="http://schemas.microsoft.com/office/drawing/2014/main" id="{FCD9E14B-E5E4-31BD-6E6B-A011CE429A31}"/>
            </a:ext>
          </a:extLst>
        </xdr:cNvPr>
        <xdr:cNvSpPr txBox="1"/>
      </xdr:nvSpPr>
      <xdr:spPr>
        <a:xfrm>
          <a:off x="5098805" y="846890"/>
          <a:ext cx="1345986" cy="271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Avaliable</a:t>
          </a:r>
          <a:r>
            <a:rPr lang="en-US" sz="1000" b="1" baseline="0"/>
            <a:t> Stock Value</a:t>
          </a:r>
          <a:endParaRPr lang="en-US" sz="1000" b="1"/>
        </a:p>
      </xdr:txBody>
    </xdr:sp>
    <xdr:clientData/>
  </xdr:twoCellAnchor>
  <xdr:twoCellAnchor>
    <xdr:from>
      <xdr:col>7</xdr:col>
      <xdr:colOff>926554</xdr:colOff>
      <xdr:row>4</xdr:row>
      <xdr:rowOff>24165</xdr:rowOff>
    </xdr:from>
    <xdr:to>
      <xdr:col>9</xdr:col>
      <xdr:colOff>199994</xdr:colOff>
      <xdr:row>7</xdr:row>
      <xdr:rowOff>77505</xdr:rowOff>
    </xdr:to>
    <xdr:sp macro="" textlink="">
      <xdr:nvSpPr>
        <xdr:cNvPr id="69" name="Rectangle 68">
          <a:extLst>
            <a:ext uri="{FF2B5EF4-FFF2-40B4-BE49-F238E27FC236}">
              <a16:creationId xmlns:a16="http://schemas.microsoft.com/office/drawing/2014/main" id="{3E837236-5B87-4151-AC54-AE8BCAB7A86B}"/>
            </a:ext>
          </a:extLst>
        </xdr:cNvPr>
        <xdr:cNvSpPr/>
      </xdr:nvSpPr>
      <xdr:spPr>
        <a:xfrm>
          <a:off x="6397714" y="854745"/>
          <a:ext cx="1300360" cy="624840"/>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CV</a:t>
          </a:r>
        </a:p>
      </xdr:txBody>
    </xdr:sp>
    <xdr:clientData/>
  </xdr:twoCellAnchor>
  <xdr:twoCellAnchor>
    <xdr:from>
      <xdr:col>7</xdr:col>
      <xdr:colOff>935300</xdr:colOff>
      <xdr:row>4</xdr:row>
      <xdr:rowOff>37416</xdr:rowOff>
    </xdr:from>
    <xdr:to>
      <xdr:col>8</xdr:col>
      <xdr:colOff>9483</xdr:colOff>
      <xdr:row>7</xdr:row>
      <xdr:rowOff>83136</xdr:rowOff>
    </xdr:to>
    <xdr:sp macro="" textlink="">
      <xdr:nvSpPr>
        <xdr:cNvPr id="70" name="Rectangle 69">
          <a:extLst>
            <a:ext uri="{FF2B5EF4-FFF2-40B4-BE49-F238E27FC236}">
              <a16:creationId xmlns:a16="http://schemas.microsoft.com/office/drawing/2014/main" id="{B541519D-838B-45A8-8627-3D1C6398D150}"/>
            </a:ext>
          </a:extLst>
        </xdr:cNvPr>
        <xdr:cNvSpPr/>
      </xdr:nvSpPr>
      <xdr:spPr>
        <a:xfrm>
          <a:off x="6406460" y="867996"/>
          <a:ext cx="125743" cy="617220"/>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283175</xdr:colOff>
      <xdr:row>4</xdr:row>
      <xdr:rowOff>24165</xdr:rowOff>
    </xdr:from>
    <xdr:to>
      <xdr:col>10</xdr:col>
      <xdr:colOff>858875</xdr:colOff>
      <xdr:row>7</xdr:row>
      <xdr:rowOff>77476</xdr:rowOff>
    </xdr:to>
    <xdr:sp macro="" textlink="">
      <xdr:nvSpPr>
        <xdr:cNvPr id="71" name="Rectangle 70">
          <a:extLst>
            <a:ext uri="{FF2B5EF4-FFF2-40B4-BE49-F238E27FC236}">
              <a16:creationId xmlns:a16="http://schemas.microsoft.com/office/drawing/2014/main" id="{28CAD0D0-31C5-4945-BF87-86AC2EB473D5}"/>
            </a:ext>
          </a:extLst>
        </xdr:cNvPr>
        <xdr:cNvSpPr/>
      </xdr:nvSpPr>
      <xdr:spPr>
        <a:xfrm>
          <a:off x="7781255" y="854745"/>
          <a:ext cx="1299600" cy="624811"/>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9</xdr:col>
      <xdr:colOff>289561</xdr:colOff>
      <xdr:row>4</xdr:row>
      <xdr:rowOff>14556</xdr:rowOff>
    </xdr:from>
    <xdr:to>
      <xdr:col>9</xdr:col>
      <xdr:colOff>426721</xdr:colOff>
      <xdr:row>7</xdr:row>
      <xdr:rowOff>68580</xdr:rowOff>
    </xdr:to>
    <xdr:sp macro="" textlink="">
      <xdr:nvSpPr>
        <xdr:cNvPr id="72" name="Rectangle 71">
          <a:extLst>
            <a:ext uri="{FF2B5EF4-FFF2-40B4-BE49-F238E27FC236}">
              <a16:creationId xmlns:a16="http://schemas.microsoft.com/office/drawing/2014/main" id="{39592234-26FD-480A-803C-25302BB8C028}"/>
            </a:ext>
          </a:extLst>
        </xdr:cNvPr>
        <xdr:cNvSpPr/>
      </xdr:nvSpPr>
      <xdr:spPr>
        <a:xfrm>
          <a:off x="7787641" y="845136"/>
          <a:ext cx="137160" cy="625524"/>
        </a:xfrm>
        <a:prstGeom prst="rect">
          <a:avLst/>
        </a:prstGeom>
        <a:solidFill>
          <a:schemeClr val="tx2">
            <a:lumMod val="10000"/>
            <a:lumOff val="9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134685</xdr:colOff>
      <xdr:row>4</xdr:row>
      <xdr:rowOff>16310</xdr:rowOff>
    </xdr:from>
    <xdr:to>
      <xdr:col>9</xdr:col>
      <xdr:colOff>118716</xdr:colOff>
      <xdr:row>5</xdr:row>
      <xdr:rowOff>97990</xdr:rowOff>
    </xdr:to>
    <xdr:sp macro="" textlink="">
      <xdr:nvSpPr>
        <xdr:cNvPr id="73" name="TextBox 72">
          <a:extLst>
            <a:ext uri="{FF2B5EF4-FFF2-40B4-BE49-F238E27FC236}">
              <a16:creationId xmlns:a16="http://schemas.microsoft.com/office/drawing/2014/main" id="{02EF2A71-4DA5-F4BB-DC31-574AF6AEE817}"/>
            </a:ext>
          </a:extLst>
        </xdr:cNvPr>
        <xdr:cNvSpPr txBox="1"/>
      </xdr:nvSpPr>
      <xdr:spPr>
        <a:xfrm>
          <a:off x="6657405" y="846890"/>
          <a:ext cx="959391" cy="287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Total purchase</a:t>
          </a:r>
        </a:p>
      </xdr:txBody>
    </xdr:sp>
    <xdr:clientData/>
  </xdr:twoCellAnchor>
  <xdr:twoCellAnchor>
    <xdr:from>
      <xdr:col>9</xdr:col>
      <xdr:colOff>383191</xdr:colOff>
      <xdr:row>4</xdr:row>
      <xdr:rowOff>39170</xdr:rowOff>
    </xdr:from>
    <xdr:to>
      <xdr:col>10</xdr:col>
      <xdr:colOff>731736</xdr:colOff>
      <xdr:row>5</xdr:row>
      <xdr:rowOff>100130</xdr:rowOff>
    </xdr:to>
    <xdr:sp macro="" textlink="">
      <xdr:nvSpPr>
        <xdr:cNvPr id="16" name="TextBox 15">
          <a:extLst>
            <a:ext uri="{FF2B5EF4-FFF2-40B4-BE49-F238E27FC236}">
              <a16:creationId xmlns:a16="http://schemas.microsoft.com/office/drawing/2014/main" id="{469C0815-C97C-673A-692D-89B129FB3317}"/>
            </a:ext>
          </a:extLst>
        </xdr:cNvPr>
        <xdr:cNvSpPr txBox="1"/>
      </xdr:nvSpPr>
      <xdr:spPr>
        <a:xfrm>
          <a:off x="7881271" y="869750"/>
          <a:ext cx="107244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ysClr val="windowText" lastClr="000000"/>
              </a:solidFill>
            </a:rPr>
            <a:t>Available Stock</a:t>
          </a:r>
        </a:p>
      </xdr:txBody>
    </xdr:sp>
    <xdr:clientData/>
  </xdr:twoCellAnchor>
  <xdr:oneCellAnchor>
    <xdr:from>
      <xdr:col>3</xdr:col>
      <xdr:colOff>731520</xdr:colOff>
      <xdr:row>9</xdr:row>
      <xdr:rowOff>106680</xdr:rowOff>
    </xdr:from>
    <xdr:ext cx="184731" cy="264560"/>
    <xdr:sp macro="" textlink="">
      <xdr:nvSpPr>
        <xdr:cNvPr id="28" name="TextBox 27">
          <a:extLst>
            <a:ext uri="{FF2B5EF4-FFF2-40B4-BE49-F238E27FC236}">
              <a16:creationId xmlns:a16="http://schemas.microsoft.com/office/drawing/2014/main" id="{8DA10C5B-0696-A073-323D-62D68ECA0B09}"/>
            </a:ext>
          </a:extLst>
        </xdr:cNvPr>
        <xdr:cNvSpPr txBox="1"/>
      </xdr:nvSpPr>
      <xdr:spPr>
        <a:xfrm>
          <a:off x="3101340" y="186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121904</xdr:colOff>
      <xdr:row>5</xdr:row>
      <xdr:rowOff>50895</xdr:rowOff>
    </xdr:from>
    <xdr:to>
      <xdr:col>4</xdr:col>
      <xdr:colOff>259064</xdr:colOff>
      <xdr:row>6</xdr:row>
      <xdr:rowOff>142335</xdr:rowOff>
    </xdr:to>
    <xdr:sp macro="" textlink="pivot!B58">
      <xdr:nvSpPr>
        <xdr:cNvPr id="29" name="TextBox 28">
          <a:extLst>
            <a:ext uri="{FF2B5EF4-FFF2-40B4-BE49-F238E27FC236}">
              <a16:creationId xmlns:a16="http://schemas.microsoft.com/office/drawing/2014/main" id="{BC983D9A-89A6-7C53-9F4E-C734391867B9}"/>
            </a:ext>
          </a:extLst>
        </xdr:cNvPr>
        <xdr:cNvSpPr txBox="1"/>
      </xdr:nvSpPr>
      <xdr:spPr>
        <a:xfrm>
          <a:off x="2491724" y="1087215"/>
          <a:ext cx="8839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8F2D28-0873-4099-939D-BB332838589E}" type="TxLink">
            <a:rPr lang="en-US" sz="1100" b="1" i="0" u="none" strike="noStrike">
              <a:solidFill>
                <a:srgbClr val="000000"/>
              </a:solidFill>
              <a:latin typeface="Aptos Narrow"/>
            </a:rPr>
            <a:pPr algn="ctr"/>
            <a:t> $11,826 </a:t>
          </a:fld>
          <a:endParaRPr lang="en-US" sz="1100" b="1"/>
        </a:p>
      </xdr:txBody>
    </xdr:sp>
    <xdr:clientData/>
  </xdr:twoCellAnchor>
  <xdr:twoCellAnchor>
    <xdr:from>
      <xdr:col>4</xdr:col>
      <xdr:colOff>783180</xdr:colOff>
      <xdr:row>5</xdr:row>
      <xdr:rowOff>51255</xdr:rowOff>
    </xdr:from>
    <xdr:to>
      <xdr:col>5</xdr:col>
      <xdr:colOff>647700</xdr:colOff>
      <xdr:row>6</xdr:row>
      <xdr:rowOff>141975</xdr:rowOff>
    </xdr:to>
    <xdr:sp macro="" textlink="pivot!B7">
      <xdr:nvSpPr>
        <xdr:cNvPr id="30" name="TextBox 29">
          <a:extLst>
            <a:ext uri="{FF2B5EF4-FFF2-40B4-BE49-F238E27FC236}">
              <a16:creationId xmlns:a16="http://schemas.microsoft.com/office/drawing/2014/main" id="{E7DDCA59-BADD-47A5-1857-2EFAAEBB2414}"/>
            </a:ext>
          </a:extLst>
        </xdr:cNvPr>
        <xdr:cNvSpPr txBox="1"/>
      </xdr:nvSpPr>
      <xdr:spPr>
        <a:xfrm rot="10800000" flipV="1">
          <a:off x="3899760" y="1087575"/>
          <a:ext cx="885600" cy="27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A2D489-F4A9-4CA3-ACEB-02339564E725}" type="TxLink">
            <a:rPr lang="en-US" sz="1100" b="1" i="0" u="none" strike="noStrike">
              <a:solidFill>
                <a:srgbClr val="000000"/>
              </a:solidFill>
              <a:latin typeface="Aptos Narrow"/>
            </a:rPr>
            <a:pPr algn="ctr"/>
            <a:t> $1,623 </a:t>
          </a:fld>
          <a:endParaRPr lang="en-US" sz="1100" b="1"/>
        </a:p>
      </xdr:txBody>
    </xdr:sp>
    <xdr:clientData/>
  </xdr:twoCellAnchor>
  <xdr:twoCellAnchor>
    <xdr:from>
      <xdr:col>6</xdr:col>
      <xdr:colOff>419100</xdr:colOff>
      <xdr:row>5</xdr:row>
      <xdr:rowOff>51255</xdr:rowOff>
    </xdr:from>
    <xdr:to>
      <xdr:col>7</xdr:col>
      <xdr:colOff>695100</xdr:colOff>
      <xdr:row>6</xdr:row>
      <xdr:rowOff>141975</xdr:rowOff>
    </xdr:to>
    <xdr:sp macro="" textlink="pivot!B3">
      <xdr:nvSpPr>
        <xdr:cNvPr id="31" name="TextBox 30">
          <a:extLst>
            <a:ext uri="{FF2B5EF4-FFF2-40B4-BE49-F238E27FC236}">
              <a16:creationId xmlns:a16="http://schemas.microsoft.com/office/drawing/2014/main" id="{F80D2E6E-7651-435B-01E1-10AE9589937F}"/>
            </a:ext>
          </a:extLst>
        </xdr:cNvPr>
        <xdr:cNvSpPr txBox="1"/>
      </xdr:nvSpPr>
      <xdr:spPr>
        <a:xfrm>
          <a:off x="5280660" y="1087575"/>
          <a:ext cx="885600" cy="27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0EC9FD-A19B-424C-AD5D-F58CB6547FEC}" type="TxLink">
            <a:rPr lang="en-US" sz="1100" b="1" i="0" u="none" strike="noStrike">
              <a:solidFill>
                <a:srgbClr val="000000"/>
              </a:solidFill>
              <a:latin typeface="Aptos Narrow"/>
            </a:rPr>
            <a:pPr algn="ctr"/>
            <a:t> $7,609 </a:t>
          </a:fld>
          <a:endParaRPr lang="en-US" sz="1100" b="1"/>
        </a:p>
      </xdr:txBody>
    </xdr:sp>
    <xdr:clientData/>
  </xdr:twoCellAnchor>
  <xdr:twoCellAnchor>
    <xdr:from>
      <xdr:col>8</xdr:col>
      <xdr:colOff>144780</xdr:colOff>
      <xdr:row>5</xdr:row>
      <xdr:rowOff>51255</xdr:rowOff>
    </xdr:from>
    <xdr:to>
      <xdr:col>9</xdr:col>
      <xdr:colOff>55020</xdr:colOff>
      <xdr:row>6</xdr:row>
      <xdr:rowOff>141975</xdr:rowOff>
    </xdr:to>
    <xdr:sp macro="" textlink="pivot!B28">
      <xdr:nvSpPr>
        <xdr:cNvPr id="32" name="TextBox 31">
          <a:extLst>
            <a:ext uri="{FF2B5EF4-FFF2-40B4-BE49-F238E27FC236}">
              <a16:creationId xmlns:a16="http://schemas.microsoft.com/office/drawing/2014/main" id="{DB57703A-2B6B-DD74-BBC7-1CF0852475D6}"/>
            </a:ext>
          </a:extLst>
        </xdr:cNvPr>
        <xdr:cNvSpPr txBox="1"/>
      </xdr:nvSpPr>
      <xdr:spPr>
        <a:xfrm>
          <a:off x="6667500" y="1087575"/>
          <a:ext cx="885600" cy="27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0B5E6E-F945-4E13-9CC3-4FCF8F4DDC35}" type="TxLink">
            <a:rPr lang="en-US" sz="1100" b="1" i="0" u="none" strike="noStrike">
              <a:solidFill>
                <a:srgbClr val="000000"/>
              </a:solidFill>
              <a:latin typeface="Aptos Narrow"/>
            </a:rPr>
            <a:pPr algn="ctr"/>
            <a:t> $15,292 </a:t>
          </a:fld>
          <a:endParaRPr lang="en-US" sz="1100" b="1"/>
        </a:p>
      </xdr:txBody>
    </xdr:sp>
    <xdr:clientData/>
  </xdr:twoCellAnchor>
  <xdr:twoCellAnchor>
    <xdr:from>
      <xdr:col>9</xdr:col>
      <xdr:colOff>510540</xdr:colOff>
      <xdr:row>5</xdr:row>
      <xdr:rowOff>51255</xdr:rowOff>
    </xdr:from>
    <xdr:to>
      <xdr:col>10</xdr:col>
      <xdr:colOff>778920</xdr:colOff>
      <xdr:row>6</xdr:row>
      <xdr:rowOff>141975</xdr:rowOff>
    </xdr:to>
    <xdr:sp macro="" textlink="pivot!B15">
      <xdr:nvSpPr>
        <xdr:cNvPr id="33" name="TextBox 32">
          <a:extLst>
            <a:ext uri="{FF2B5EF4-FFF2-40B4-BE49-F238E27FC236}">
              <a16:creationId xmlns:a16="http://schemas.microsoft.com/office/drawing/2014/main" id="{FD4C247E-6F81-49BD-1E99-D31E30900BCB}"/>
            </a:ext>
          </a:extLst>
        </xdr:cNvPr>
        <xdr:cNvSpPr txBox="1"/>
      </xdr:nvSpPr>
      <xdr:spPr>
        <a:xfrm>
          <a:off x="8008620" y="1087575"/>
          <a:ext cx="992280" cy="27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62A2B5-9F8C-4BE5-B137-4957D12A1561}" type="TxLink">
            <a:rPr lang="en-US" sz="1100" b="1" i="0" u="none" strike="noStrike">
              <a:solidFill>
                <a:sysClr val="windowText" lastClr="000000"/>
              </a:solidFill>
              <a:latin typeface="Aptos Narrow"/>
            </a:rPr>
            <a:pPr algn="ctr"/>
            <a:t>1020</a:t>
          </a:fld>
          <a:endParaRPr lang="en-US" sz="1100" b="1">
            <a:solidFill>
              <a:sysClr val="windowText" lastClr="000000"/>
            </a:solidFill>
          </a:endParaRPr>
        </a:p>
      </xdr:txBody>
    </xdr:sp>
    <xdr:clientData/>
  </xdr:twoCellAnchor>
  <xdr:twoCellAnchor>
    <xdr:from>
      <xdr:col>2</xdr:col>
      <xdr:colOff>152384</xdr:colOff>
      <xdr:row>7</xdr:row>
      <xdr:rowOff>129540</xdr:rowOff>
    </xdr:from>
    <xdr:to>
      <xdr:col>7</xdr:col>
      <xdr:colOff>132344</xdr:colOff>
      <xdr:row>17</xdr:row>
      <xdr:rowOff>2700</xdr:rowOff>
    </xdr:to>
    <xdr:graphicFrame macro="">
      <xdr:nvGraphicFramePr>
        <xdr:cNvPr id="35" name="Chart 34">
          <a:extLst>
            <a:ext uri="{FF2B5EF4-FFF2-40B4-BE49-F238E27FC236}">
              <a16:creationId xmlns:a16="http://schemas.microsoft.com/office/drawing/2014/main" id="{326D6287-1E3C-43B6-BD22-7D48B76E0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198120</xdr:colOff>
      <xdr:row>7</xdr:row>
      <xdr:rowOff>129540</xdr:rowOff>
    </xdr:from>
    <xdr:to>
      <xdr:col>10</xdr:col>
      <xdr:colOff>899160</xdr:colOff>
      <xdr:row>17</xdr:row>
      <xdr:rowOff>2700</xdr:rowOff>
    </xdr:to>
    <xdr:graphicFrame macro="">
      <xdr:nvGraphicFramePr>
        <xdr:cNvPr id="36" name="Chart 35">
          <a:extLst>
            <a:ext uri="{FF2B5EF4-FFF2-40B4-BE49-F238E27FC236}">
              <a16:creationId xmlns:a16="http://schemas.microsoft.com/office/drawing/2014/main" id="{E895A5BE-DAD9-4B4B-BE6A-6AD2D6C3A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152384</xdr:colOff>
      <xdr:row>17</xdr:row>
      <xdr:rowOff>76200</xdr:rowOff>
    </xdr:from>
    <xdr:to>
      <xdr:col>7</xdr:col>
      <xdr:colOff>139544</xdr:colOff>
      <xdr:row>26</xdr:row>
      <xdr:rowOff>198120</xdr:rowOff>
    </xdr:to>
    <xdr:graphicFrame macro="">
      <xdr:nvGraphicFramePr>
        <xdr:cNvPr id="37" name="Chart 36">
          <a:extLst>
            <a:ext uri="{FF2B5EF4-FFF2-40B4-BE49-F238E27FC236}">
              <a16:creationId xmlns:a16="http://schemas.microsoft.com/office/drawing/2014/main" id="{61802FE5-89D7-43D9-BD7C-60B0D39C4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190500</xdr:colOff>
      <xdr:row>17</xdr:row>
      <xdr:rowOff>76200</xdr:rowOff>
    </xdr:from>
    <xdr:to>
      <xdr:col>10</xdr:col>
      <xdr:colOff>899160</xdr:colOff>
      <xdr:row>26</xdr:row>
      <xdr:rowOff>198120</xdr:rowOff>
    </xdr:to>
    <xdr:graphicFrame macro="">
      <xdr:nvGraphicFramePr>
        <xdr:cNvPr id="38" name="Chart 37">
          <a:extLst>
            <a:ext uri="{FF2B5EF4-FFF2-40B4-BE49-F238E27FC236}">
              <a16:creationId xmlns:a16="http://schemas.microsoft.com/office/drawing/2014/main" id="{9F9E989B-962F-44E9-9BED-A002BA099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13</xdr:col>
      <xdr:colOff>1554480</xdr:colOff>
      <xdr:row>1</xdr:row>
      <xdr:rowOff>30480</xdr:rowOff>
    </xdr:from>
    <xdr:to>
      <xdr:col>13</xdr:col>
      <xdr:colOff>3970124</xdr:colOff>
      <xdr:row>3</xdr:row>
      <xdr:rowOff>121920</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88680F0C-69C7-459F-A103-57FAF0F4DF2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88140" y="312420"/>
              <a:ext cx="241564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914400</xdr:colOff>
      <xdr:row>1</xdr:row>
      <xdr:rowOff>22860</xdr:rowOff>
    </xdr:from>
    <xdr:to>
      <xdr:col>13</xdr:col>
      <xdr:colOff>1554480</xdr:colOff>
      <xdr:row>3</xdr:row>
      <xdr:rowOff>144780</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473D05BF-493F-4695-B65E-50BB982AEF5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36380" y="304800"/>
              <a:ext cx="2651760" cy="487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1</xdr:row>
      <xdr:rowOff>53340</xdr:rowOff>
    </xdr:from>
    <xdr:to>
      <xdr:col>1</xdr:col>
      <xdr:colOff>1280160</xdr:colOff>
      <xdr:row>5</xdr:row>
      <xdr:rowOff>38100</xdr:rowOff>
    </xdr:to>
    <xdr:pic>
      <xdr:nvPicPr>
        <xdr:cNvPr id="2" name="Graphic 1" descr="Search Inventory with solid fill">
          <a:extLst>
            <a:ext uri="{FF2B5EF4-FFF2-40B4-BE49-F238E27FC236}">
              <a16:creationId xmlns:a16="http://schemas.microsoft.com/office/drawing/2014/main" id="{14142C77-1A1C-487A-8573-5624DC3E29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335280"/>
          <a:ext cx="899160" cy="784860"/>
        </a:xfrm>
        <a:prstGeom prst="rect">
          <a:avLst/>
        </a:prstGeom>
      </xdr:spPr>
    </xdr:pic>
    <xdr:clientData/>
  </xdr:twoCellAnchor>
  <xdr:twoCellAnchor>
    <xdr:from>
      <xdr:col>1</xdr:col>
      <xdr:colOff>45720</xdr:colOff>
      <xdr:row>6</xdr:row>
      <xdr:rowOff>60960</xdr:rowOff>
    </xdr:from>
    <xdr:to>
      <xdr:col>2</xdr:col>
      <xdr:colOff>7620</xdr:colOff>
      <xdr:row>9</xdr:row>
      <xdr:rowOff>76200</xdr:rowOff>
    </xdr:to>
    <xdr:sp macro="" textlink="">
      <xdr:nvSpPr>
        <xdr:cNvPr id="3" name="Rectangle 2">
          <a:extLst>
            <a:ext uri="{FF2B5EF4-FFF2-40B4-BE49-F238E27FC236}">
              <a16:creationId xmlns:a16="http://schemas.microsoft.com/office/drawing/2014/main" id="{E234717D-FE20-45B2-BD22-40242437F278}"/>
            </a:ext>
          </a:extLst>
        </xdr:cNvPr>
        <xdr:cNvSpPr/>
      </xdr:nvSpPr>
      <xdr:spPr>
        <a:xfrm>
          <a:off x="365760" y="1257300"/>
          <a:ext cx="1744980" cy="5638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Inventory Management</a:t>
          </a:r>
          <a:r>
            <a:rPr lang="en-US" sz="1400" b="1" baseline="0"/>
            <a:t> System</a:t>
          </a:r>
          <a:endParaRPr lang="en-US" sz="1400" b="1"/>
        </a:p>
      </xdr:txBody>
    </xdr:sp>
    <xdr:clientData/>
  </xdr:twoCellAnchor>
  <xdr:twoCellAnchor>
    <xdr:from>
      <xdr:col>1</xdr:col>
      <xdr:colOff>592454</xdr:colOff>
      <xdr:row>10</xdr:row>
      <xdr:rowOff>83820</xdr:rowOff>
    </xdr:from>
    <xdr:to>
      <xdr:col>1</xdr:col>
      <xdr:colOff>1598294</xdr:colOff>
      <xdr:row>12</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78B0890F-190D-4D6E-B521-CA9EA7DABF33}"/>
            </a:ext>
          </a:extLst>
        </xdr:cNvPr>
        <xdr:cNvSpPr/>
      </xdr:nvSpPr>
      <xdr:spPr>
        <a:xfrm>
          <a:off x="912494" y="2011680"/>
          <a:ext cx="1005840" cy="3352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Dashboard</a:t>
          </a:r>
        </a:p>
      </xdr:txBody>
    </xdr:sp>
    <xdr:clientData/>
  </xdr:twoCellAnchor>
  <xdr:twoCellAnchor>
    <xdr:from>
      <xdr:col>1</xdr:col>
      <xdr:colOff>592454</xdr:colOff>
      <xdr:row>12</xdr:row>
      <xdr:rowOff>110490</xdr:rowOff>
    </xdr:from>
    <xdr:to>
      <xdr:col>1</xdr:col>
      <xdr:colOff>1644014</xdr:colOff>
      <xdr:row>14</xdr:row>
      <xdr:rowOff>64770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0BDBA20-A099-4DF8-80EB-EF3345A3FE6D}"/>
            </a:ext>
          </a:extLst>
        </xdr:cNvPr>
        <xdr:cNvSpPr/>
      </xdr:nvSpPr>
      <xdr:spPr>
        <a:xfrm>
          <a:off x="912494" y="2404110"/>
          <a:ext cx="10515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solidFill>
            </a:rPr>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1786B82E-2EB1-45B2-8B71-A6BFCCAFC76C}"/>
            </a:ext>
          </a:extLst>
        </xdr:cNvPr>
        <xdr:cNvSpPr/>
      </xdr:nvSpPr>
      <xdr:spPr>
        <a:xfrm>
          <a:off x="912494" y="278130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Purchase</a:t>
          </a:r>
        </a:p>
      </xdr:txBody>
    </xdr:sp>
    <xdr:clientData/>
  </xdr:twoCellAnchor>
  <xdr:twoCellAnchor>
    <xdr:from>
      <xdr:col>1</xdr:col>
      <xdr:colOff>592454</xdr:colOff>
      <xdr:row>16</xdr:row>
      <xdr:rowOff>133350</xdr:rowOff>
    </xdr:from>
    <xdr:to>
      <xdr:col>1</xdr:col>
      <xdr:colOff>1583055</xdr:colOff>
      <xdr:row>18</xdr:row>
      <xdr:rowOff>125730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FBF1F785-D818-4585-AF5F-5FF0948384B3}"/>
            </a:ext>
          </a:extLst>
        </xdr:cNvPr>
        <xdr:cNvSpPr/>
      </xdr:nvSpPr>
      <xdr:spPr>
        <a:xfrm>
          <a:off x="912494" y="3158490"/>
          <a:ext cx="990601" cy="3581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Sales</a:t>
          </a:r>
        </a:p>
      </xdr:txBody>
    </xdr:sp>
    <xdr:clientData/>
  </xdr:twoCellAnchor>
  <xdr:twoCellAnchor>
    <xdr:from>
      <xdr:col>1</xdr:col>
      <xdr:colOff>592454</xdr:colOff>
      <xdr:row>19</xdr:row>
      <xdr:rowOff>0</xdr:rowOff>
    </xdr:from>
    <xdr:to>
      <xdr:col>1</xdr:col>
      <xdr:colOff>1636393</xdr:colOff>
      <xdr:row>20</xdr:row>
      <xdr:rowOff>137160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DE4DD77D-FCC5-4AEB-A630-9F7A5F75180A}"/>
            </a:ext>
          </a:extLst>
        </xdr:cNvPr>
        <xdr:cNvSpPr/>
      </xdr:nvSpPr>
      <xdr:spPr>
        <a:xfrm>
          <a:off x="912494" y="3573780"/>
          <a:ext cx="1043939"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Supplier</a:t>
          </a:r>
        </a:p>
      </xdr:txBody>
    </xdr:sp>
    <xdr:clientData/>
  </xdr:twoCellAnchor>
  <xdr:twoCellAnchor editAs="oneCell">
    <xdr:from>
      <xdr:col>1</xdr:col>
      <xdr:colOff>60960</xdr:colOff>
      <xdr:row>10</xdr:row>
      <xdr:rowOff>114300</xdr:rowOff>
    </xdr:from>
    <xdr:to>
      <xdr:col>1</xdr:col>
      <xdr:colOff>240960</xdr:colOff>
      <xdr:row>11</xdr:row>
      <xdr:rowOff>111420</xdr:rowOff>
    </xdr:to>
    <xdr:pic>
      <xdr:nvPicPr>
        <xdr:cNvPr id="9" name="Graphic 8" descr="Bar chart with solid fill">
          <a:extLst>
            <a:ext uri="{FF2B5EF4-FFF2-40B4-BE49-F238E27FC236}">
              <a16:creationId xmlns:a16="http://schemas.microsoft.com/office/drawing/2014/main" id="{6E0B6A5E-41B8-4DF0-88B4-43ACE49249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0" y="2042160"/>
          <a:ext cx="180000" cy="180000"/>
        </a:xfrm>
        <a:prstGeom prst="rect">
          <a:avLst/>
        </a:prstGeom>
      </xdr:spPr>
    </xdr:pic>
    <xdr:clientData/>
  </xdr:twoCellAnchor>
  <xdr:twoCellAnchor editAs="oneCell">
    <xdr:from>
      <xdr:col>1</xdr:col>
      <xdr:colOff>60960</xdr:colOff>
      <xdr:row>12</xdr:row>
      <xdr:rowOff>167640</xdr:rowOff>
    </xdr:from>
    <xdr:to>
      <xdr:col>1</xdr:col>
      <xdr:colOff>240960</xdr:colOff>
      <xdr:row>13</xdr:row>
      <xdr:rowOff>164760</xdr:rowOff>
    </xdr:to>
    <xdr:pic>
      <xdr:nvPicPr>
        <xdr:cNvPr id="10" name="Graphic 9" descr="Clipboard Checked outline">
          <a:extLst>
            <a:ext uri="{FF2B5EF4-FFF2-40B4-BE49-F238E27FC236}">
              <a16:creationId xmlns:a16="http://schemas.microsoft.com/office/drawing/2014/main" id="{9A5CC102-45D2-4EC3-8B86-BD2700DB31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461260"/>
          <a:ext cx="180000" cy="180000"/>
        </a:xfrm>
        <a:prstGeom prst="rect">
          <a:avLst/>
        </a:prstGeom>
      </xdr:spPr>
    </xdr:pic>
    <xdr:clientData/>
  </xdr:twoCellAnchor>
  <xdr:twoCellAnchor editAs="oneCell">
    <xdr:from>
      <xdr:col>1</xdr:col>
      <xdr:colOff>60960</xdr:colOff>
      <xdr:row>15</xdr:row>
      <xdr:rowOff>30480</xdr:rowOff>
    </xdr:from>
    <xdr:to>
      <xdr:col>1</xdr:col>
      <xdr:colOff>240960</xdr:colOff>
      <xdr:row>16</xdr:row>
      <xdr:rowOff>27600</xdr:rowOff>
    </xdr:to>
    <xdr:pic>
      <xdr:nvPicPr>
        <xdr:cNvPr id="11" name="Graphic 10" descr="Register outline">
          <a:extLst>
            <a:ext uri="{FF2B5EF4-FFF2-40B4-BE49-F238E27FC236}">
              <a16:creationId xmlns:a16="http://schemas.microsoft.com/office/drawing/2014/main" id="{2ACF3E22-E2D9-46BC-A268-5F15B4AC356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72740"/>
          <a:ext cx="180000" cy="180000"/>
        </a:xfrm>
        <a:prstGeom prst="rect">
          <a:avLst/>
        </a:prstGeom>
      </xdr:spPr>
    </xdr:pic>
    <xdr:clientData/>
  </xdr:twoCellAnchor>
  <xdr:twoCellAnchor editAs="oneCell">
    <xdr:from>
      <xdr:col>1</xdr:col>
      <xdr:colOff>60960</xdr:colOff>
      <xdr:row>17</xdr:row>
      <xdr:rowOff>60960</xdr:rowOff>
    </xdr:from>
    <xdr:to>
      <xdr:col>1</xdr:col>
      <xdr:colOff>240960</xdr:colOff>
      <xdr:row>18</xdr:row>
      <xdr:rowOff>58080</xdr:rowOff>
    </xdr:to>
    <xdr:pic>
      <xdr:nvPicPr>
        <xdr:cNvPr id="12" name="Graphic 11" descr="Receipt outline">
          <a:extLst>
            <a:ext uri="{FF2B5EF4-FFF2-40B4-BE49-F238E27FC236}">
              <a16:creationId xmlns:a16="http://schemas.microsoft.com/office/drawing/2014/main" id="{B5311139-FD78-40CA-8798-67ACBD08310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0" y="3268980"/>
          <a:ext cx="180000" cy="180000"/>
        </a:xfrm>
        <a:prstGeom prst="rect">
          <a:avLst/>
        </a:prstGeom>
      </xdr:spPr>
    </xdr:pic>
    <xdr:clientData/>
  </xdr:twoCellAnchor>
  <xdr:twoCellAnchor editAs="oneCell">
    <xdr:from>
      <xdr:col>1</xdr:col>
      <xdr:colOff>60960</xdr:colOff>
      <xdr:row>19</xdr:row>
      <xdr:rowOff>45720</xdr:rowOff>
    </xdr:from>
    <xdr:to>
      <xdr:col>1</xdr:col>
      <xdr:colOff>240960</xdr:colOff>
      <xdr:row>20</xdr:row>
      <xdr:rowOff>42840</xdr:rowOff>
    </xdr:to>
    <xdr:pic>
      <xdr:nvPicPr>
        <xdr:cNvPr id="13" name="Graphic 12" descr="User with solid fill">
          <a:extLst>
            <a:ext uri="{FF2B5EF4-FFF2-40B4-BE49-F238E27FC236}">
              <a16:creationId xmlns:a16="http://schemas.microsoft.com/office/drawing/2014/main" id="{61909130-FDAC-4408-911E-93195C8F810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1000" y="3619500"/>
          <a:ext cx="180000" cy="180000"/>
        </a:xfrm>
        <a:prstGeom prst="rect">
          <a:avLst/>
        </a:prstGeom>
      </xdr:spPr>
    </xdr:pic>
    <xdr:clientData/>
  </xdr:twoCellAnchor>
  <xdr:twoCellAnchor editAs="absolute">
    <xdr:from>
      <xdr:col>3</xdr:col>
      <xdr:colOff>0</xdr:colOff>
      <xdr:row>1</xdr:row>
      <xdr:rowOff>114300</xdr:rowOff>
    </xdr:from>
    <xdr:to>
      <xdr:col>16</xdr:col>
      <xdr:colOff>30480</xdr:colOff>
      <xdr:row>4</xdr:row>
      <xdr:rowOff>7620</xdr:rowOff>
    </xdr:to>
    <xdr:sp macro="" textlink="">
      <xdr:nvSpPr>
        <xdr:cNvPr id="14" name="Rectangle 13">
          <a:extLst>
            <a:ext uri="{FF2B5EF4-FFF2-40B4-BE49-F238E27FC236}">
              <a16:creationId xmlns:a16="http://schemas.microsoft.com/office/drawing/2014/main" id="{DBFF0B5C-8BA2-47AF-8A55-17D18201CBA0}"/>
            </a:ext>
          </a:extLst>
        </xdr:cNvPr>
        <xdr:cNvSpPr/>
      </xdr:nvSpPr>
      <xdr:spPr>
        <a:xfrm>
          <a:off x="2362200" y="304800"/>
          <a:ext cx="16436340" cy="5105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1"/>
            <a:t>           </a:t>
          </a:r>
          <a:r>
            <a:rPr lang="en-US" sz="4400" b="1"/>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15" name="Rectangle 14">
          <a:hlinkClick xmlns:r="http://schemas.openxmlformats.org/officeDocument/2006/relationships" r:id="rId5"/>
          <a:extLst>
            <a:ext uri="{FF2B5EF4-FFF2-40B4-BE49-F238E27FC236}">
              <a16:creationId xmlns:a16="http://schemas.microsoft.com/office/drawing/2014/main" id="{07787167-DE5D-4276-8D5C-9C8641F58CFB}"/>
            </a:ext>
          </a:extLst>
        </xdr:cNvPr>
        <xdr:cNvSpPr/>
      </xdr:nvSpPr>
      <xdr:spPr>
        <a:xfrm>
          <a:off x="912494" y="276606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Purchase</a:t>
          </a:r>
        </a:p>
      </xdr:txBody>
    </xdr:sp>
    <xdr:clientData/>
  </xdr:twoCellAnchor>
  <xdr:oneCellAnchor>
    <xdr:from>
      <xdr:col>1</xdr:col>
      <xdr:colOff>60960</xdr:colOff>
      <xdr:row>15</xdr:row>
      <xdr:rowOff>30480</xdr:rowOff>
    </xdr:from>
    <xdr:ext cx="180000" cy="180000"/>
    <xdr:pic>
      <xdr:nvPicPr>
        <xdr:cNvPr id="16" name="Graphic 15" descr="Register outline">
          <a:extLst>
            <a:ext uri="{FF2B5EF4-FFF2-40B4-BE49-F238E27FC236}">
              <a16:creationId xmlns:a16="http://schemas.microsoft.com/office/drawing/2014/main" id="{6D71C263-674D-4ECA-91A5-2553C2A310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57500"/>
          <a:ext cx="180000" cy="180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381000</xdr:colOff>
      <xdr:row>1</xdr:row>
      <xdr:rowOff>53340</xdr:rowOff>
    </xdr:from>
    <xdr:to>
      <xdr:col>1</xdr:col>
      <xdr:colOff>1280160</xdr:colOff>
      <xdr:row>5</xdr:row>
      <xdr:rowOff>106680</xdr:rowOff>
    </xdr:to>
    <xdr:pic>
      <xdr:nvPicPr>
        <xdr:cNvPr id="2" name="Graphic 1" descr="Search Inventory with solid fill">
          <a:extLst>
            <a:ext uri="{FF2B5EF4-FFF2-40B4-BE49-F238E27FC236}">
              <a16:creationId xmlns:a16="http://schemas.microsoft.com/office/drawing/2014/main" id="{12C35EF4-81D6-4086-B38D-9565C5A636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335280"/>
          <a:ext cx="899160" cy="784860"/>
        </a:xfrm>
        <a:prstGeom prst="rect">
          <a:avLst/>
        </a:prstGeom>
      </xdr:spPr>
    </xdr:pic>
    <xdr:clientData/>
  </xdr:twoCellAnchor>
  <xdr:twoCellAnchor>
    <xdr:from>
      <xdr:col>1</xdr:col>
      <xdr:colOff>45720</xdr:colOff>
      <xdr:row>6</xdr:row>
      <xdr:rowOff>60960</xdr:rowOff>
    </xdr:from>
    <xdr:to>
      <xdr:col>2</xdr:col>
      <xdr:colOff>7620</xdr:colOff>
      <xdr:row>9</xdr:row>
      <xdr:rowOff>76200</xdr:rowOff>
    </xdr:to>
    <xdr:sp macro="" textlink="">
      <xdr:nvSpPr>
        <xdr:cNvPr id="3" name="Rectangle 2">
          <a:extLst>
            <a:ext uri="{FF2B5EF4-FFF2-40B4-BE49-F238E27FC236}">
              <a16:creationId xmlns:a16="http://schemas.microsoft.com/office/drawing/2014/main" id="{88A7FAE0-2EEF-4F0B-B045-DD1FC3D9F499}"/>
            </a:ext>
          </a:extLst>
        </xdr:cNvPr>
        <xdr:cNvSpPr/>
      </xdr:nvSpPr>
      <xdr:spPr>
        <a:xfrm>
          <a:off x="365760" y="1257300"/>
          <a:ext cx="1744980" cy="5638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Inventory Management</a:t>
          </a:r>
          <a:r>
            <a:rPr lang="en-US" sz="1400" b="1" baseline="0"/>
            <a:t> System</a:t>
          </a:r>
          <a:endParaRPr lang="en-US" sz="1400" b="1"/>
        </a:p>
      </xdr:txBody>
    </xdr:sp>
    <xdr:clientData/>
  </xdr:twoCellAnchor>
  <xdr:twoCellAnchor>
    <xdr:from>
      <xdr:col>1</xdr:col>
      <xdr:colOff>592454</xdr:colOff>
      <xdr:row>10</xdr:row>
      <xdr:rowOff>83820</xdr:rowOff>
    </xdr:from>
    <xdr:to>
      <xdr:col>1</xdr:col>
      <xdr:colOff>1598294</xdr:colOff>
      <xdr:row>12</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C0A897CF-FA9B-4E4C-88F8-A27D989A61A7}"/>
            </a:ext>
          </a:extLst>
        </xdr:cNvPr>
        <xdr:cNvSpPr/>
      </xdr:nvSpPr>
      <xdr:spPr>
        <a:xfrm>
          <a:off x="912494" y="2011680"/>
          <a:ext cx="1005840" cy="3352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Dashboard</a:t>
          </a:r>
        </a:p>
      </xdr:txBody>
    </xdr:sp>
    <xdr:clientData/>
  </xdr:twoCellAnchor>
  <xdr:twoCellAnchor>
    <xdr:from>
      <xdr:col>1</xdr:col>
      <xdr:colOff>592454</xdr:colOff>
      <xdr:row>12</xdr:row>
      <xdr:rowOff>110490</xdr:rowOff>
    </xdr:from>
    <xdr:to>
      <xdr:col>1</xdr:col>
      <xdr:colOff>1644014</xdr:colOff>
      <xdr:row>14</xdr:row>
      <xdr:rowOff>64770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C64D6CCB-6595-4606-A77E-7C75EEF9C499}"/>
            </a:ext>
          </a:extLst>
        </xdr:cNvPr>
        <xdr:cNvSpPr/>
      </xdr:nvSpPr>
      <xdr:spPr>
        <a:xfrm>
          <a:off x="912494" y="2404110"/>
          <a:ext cx="10515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37026DF7-A5AF-4C07-8A43-3913C6D8274C}"/>
            </a:ext>
          </a:extLst>
        </xdr:cNvPr>
        <xdr:cNvSpPr/>
      </xdr:nvSpPr>
      <xdr:spPr>
        <a:xfrm>
          <a:off x="912494" y="278130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solidFill>
            </a:rPr>
            <a:t>Purchase</a:t>
          </a:r>
        </a:p>
      </xdr:txBody>
    </xdr:sp>
    <xdr:clientData/>
  </xdr:twoCellAnchor>
  <xdr:twoCellAnchor>
    <xdr:from>
      <xdr:col>1</xdr:col>
      <xdr:colOff>592454</xdr:colOff>
      <xdr:row>16</xdr:row>
      <xdr:rowOff>133350</xdr:rowOff>
    </xdr:from>
    <xdr:to>
      <xdr:col>1</xdr:col>
      <xdr:colOff>1583055</xdr:colOff>
      <xdr:row>18</xdr:row>
      <xdr:rowOff>125730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D93C375B-38FE-4300-B7F2-118D6A975D67}"/>
            </a:ext>
          </a:extLst>
        </xdr:cNvPr>
        <xdr:cNvSpPr/>
      </xdr:nvSpPr>
      <xdr:spPr>
        <a:xfrm>
          <a:off x="912494" y="3158490"/>
          <a:ext cx="990601" cy="3581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Sales</a:t>
          </a:r>
        </a:p>
      </xdr:txBody>
    </xdr:sp>
    <xdr:clientData/>
  </xdr:twoCellAnchor>
  <xdr:twoCellAnchor>
    <xdr:from>
      <xdr:col>1</xdr:col>
      <xdr:colOff>592454</xdr:colOff>
      <xdr:row>19</xdr:row>
      <xdr:rowOff>0</xdr:rowOff>
    </xdr:from>
    <xdr:to>
      <xdr:col>1</xdr:col>
      <xdr:colOff>1636393</xdr:colOff>
      <xdr:row>20</xdr:row>
      <xdr:rowOff>137160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B0FC043B-8AFB-4D84-98C9-E671F5180154}"/>
            </a:ext>
          </a:extLst>
        </xdr:cNvPr>
        <xdr:cNvSpPr/>
      </xdr:nvSpPr>
      <xdr:spPr>
        <a:xfrm>
          <a:off x="912494" y="3573780"/>
          <a:ext cx="1043939"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Supplier</a:t>
          </a:r>
        </a:p>
      </xdr:txBody>
    </xdr:sp>
    <xdr:clientData/>
  </xdr:twoCellAnchor>
  <xdr:twoCellAnchor editAs="oneCell">
    <xdr:from>
      <xdr:col>1</xdr:col>
      <xdr:colOff>60960</xdr:colOff>
      <xdr:row>10</xdr:row>
      <xdr:rowOff>114300</xdr:rowOff>
    </xdr:from>
    <xdr:to>
      <xdr:col>1</xdr:col>
      <xdr:colOff>240960</xdr:colOff>
      <xdr:row>11</xdr:row>
      <xdr:rowOff>111420</xdr:rowOff>
    </xdr:to>
    <xdr:pic>
      <xdr:nvPicPr>
        <xdr:cNvPr id="9" name="Graphic 8" descr="Bar chart with solid fill">
          <a:extLst>
            <a:ext uri="{FF2B5EF4-FFF2-40B4-BE49-F238E27FC236}">
              <a16:creationId xmlns:a16="http://schemas.microsoft.com/office/drawing/2014/main" id="{4148AC13-0BE4-4696-B260-049491019E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0" y="2042160"/>
          <a:ext cx="180000" cy="180000"/>
        </a:xfrm>
        <a:prstGeom prst="rect">
          <a:avLst/>
        </a:prstGeom>
      </xdr:spPr>
    </xdr:pic>
    <xdr:clientData/>
  </xdr:twoCellAnchor>
  <xdr:twoCellAnchor editAs="oneCell">
    <xdr:from>
      <xdr:col>1</xdr:col>
      <xdr:colOff>60960</xdr:colOff>
      <xdr:row>12</xdr:row>
      <xdr:rowOff>167640</xdr:rowOff>
    </xdr:from>
    <xdr:to>
      <xdr:col>1</xdr:col>
      <xdr:colOff>240960</xdr:colOff>
      <xdr:row>13</xdr:row>
      <xdr:rowOff>164760</xdr:rowOff>
    </xdr:to>
    <xdr:pic>
      <xdr:nvPicPr>
        <xdr:cNvPr id="10" name="Graphic 9" descr="Clipboard Checked outline">
          <a:extLst>
            <a:ext uri="{FF2B5EF4-FFF2-40B4-BE49-F238E27FC236}">
              <a16:creationId xmlns:a16="http://schemas.microsoft.com/office/drawing/2014/main" id="{66F0CE2D-BF40-42B8-920F-A1875DAA62E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461260"/>
          <a:ext cx="180000" cy="180000"/>
        </a:xfrm>
        <a:prstGeom prst="rect">
          <a:avLst/>
        </a:prstGeom>
      </xdr:spPr>
    </xdr:pic>
    <xdr:clientData/>
  </xdr:twoCellAnchor>
  <xdr:twoCellAnchor editAs="oneCell">
    <xdr:from>
      <xdr:col>1</xdr:col>
      <xdr:colOff>60960</xdr:colOff>
      <xdr:row>15</xdr:row>
      <xdr:rowOff>30480</xdr:rowOff>
    </xdr:from>
    <xdr:to>
      <xdr:col>1</xdr:col>
      <xdr:colOff>240960</xdr:colOff>
      <xdr:row>16</xdr:row>
      <xdr:rowOff>27600</xdr:rowOff>
    </xdr:to>
    <xdr:pic>
      <xdr:nvPicPr>
        <xdr:cNvPr id="11" name="Graphic 10" descr="Register outline">
          <a:extLst>
            <a:ext uri="{FF2B5EF4-FFF2-40B4-BE49-F238E27FC236}">
              <a16:creationId xmlns:a16="http://schemas.microsoft.com/office/drawing/2014/main" id="{B7F2B635-3190-4A12-8063-DCA88031F42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72740"/>
          <a:ext cx="180000" cy="180000"/>
        </a:xfrm>
        <a:prstGeom prst="rect">
          <a:avLst/>
        </a:prstGeom>
      </xdr:spPr>
    </xdr:pic>
    <xdr:clientData/>
  </xdr:twoCellAnchor>
  <xdr:twoCellAnchor editAs="oneCell">
    <xdr:from>
      <xdr:col>1</xdr:col>
      <xdr:colOff>60960</xdr:colOff>
      <xdr:row>17</xdr:row>
      <xdr:rowOff>60960</xdr:rowOff>
    </xdr:from>
    <xdr:to>
      <xdr:col>1</xdr:col>
      <xdr:colOff>240960</xdr:colOff>
      <xdr:row>18</xdr:row>
      <xdr:rowOff>58080</xdr:rowOff>
    </xdr:to>
    <xdr:pic>
      <xdr:nvPicPr>
        <xdr:cNvPr id="12" name="Graphic 11" descr="Receipt outline">
          <a:extLst>
            <a:ext uri="{FF2B5EF4-FFF2-40B4-BE49-F238E27FC236}">
              <a16:creationId xmlns:a16="http://schemas.microsoft.com/office/drawing/2014/main" id="{AB53776A-DF7D-4401-B192-41FC771984E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0" y="3268980"/>
          <a:ext cx="180000" cy="180000"/>
        </a:xfrm>
        <a:prstGeom prst="rect">
          <a:avLst/>
        </a:prstGeom>
      </xdr:spPr>
    </xdr:pic>
    <xdr:clientData/>
  </xdr:twoCellAnchor>
  <xdr:twoCellAnchor editAs="oneCell">
    <xdr:from>
      <xdr:col>1</xdr:col>
      <xdr:colOff>60960</xdr:colOff>
      <xdr:row>19</xdr:row>
      <xdr:rowOff>45720</xdr:rowOff>
    </xdr:from>
    <xdr:to>
      <xdr:col>1</xdr:col>
      <xdr:colOff>240960</xdr:colOff>
      <xdr:row>20</xdr:row>
      <xdr:rowOff>42840</xdr:rowOff>
    </xdr:to>
    <xdr:pic>
      <xdr:nvPicPr>
        <xdr:cNvPr id="13" name="Graphic 12" descr="User with solid fill">
          <a:extLst>
            <a:ext uri="{FF2B5EF4-FFF2-40B4-BE49-F238E27FC236}">
              <a16:creationId xmlns:a16="http://schemas.microsoft.com/office/drawing/2014/main" id="{A28C92FC-A507-42FA-A2A3-A1B8394A932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1000" y="3619500"/>
          <a:ext cx="180000" cy="180000"/>
        </a:xfrm>
        <a:prstGeom prst="rect">
          <a:avLst/>
        </a:prstGeom>
      </xdr:spPr>
    </xdr:pic>
    <xdr:clientData/>
  </xdr:twoCellAnchor>
  <xdr:twoCellAnchor editAs="absolute">
    <xdr:from>
      <xdr:col>3</xdr:col>
      <xdr:colOff>0</xdr:colOff>
      <xdr:row>1</xdr:row>
      <xdr:rowOff>22860</xdr:rowOff>
    </xdr:from>
    <xdr:to>
      <xdr:col>12</xdr:col>
      <xdr:colOff>685800</xdr:colOff>
      <xdr:row>3</xdr:row>
      <xdr:rowOff>167640</xdr:rowOff>
    </xdr:to>
    <xdr:sp macro="" textlink="">
      <xdr:nvSpPr>
        <xdr:cNvPr id="14" name="Rectangle 13">
          <a:extLst>
            <a:ext uri="{FF2B5EF4-FFF2-40B4-BE49-F238E27FC236}">
              <a16:creationId xmlns:a16="http://schemas.microsoft.com/office/drawing/2014/main" id="{9FA7BE58-CC3E-4B3F-9822-1C47F0D903EA}"/>
            </a:ext>
          </a:extLst>
        </xdr:cNvPr>
        <xdr:cNvSpPr/>
      </xdr:nvSpPr>
      <xdr:spPr>
        <a:xfrm>
          <a:off x="2369820" y="304800"/>
          <a:ext cx="10424160" cy="5105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4400" b="1"/>
            <a:t>           Purchase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381000</xdr:colOff>
      <xdr:row>1</xdr:row>
      <xdr:rowOff>53340</xdr:rowOff>
    </xdr:from>
    <xdr:to>
      <xdr:col>1</xdr:col>
      <xdr:colOff>1280160</xdr:colOff>
      <xdr:row>5</xdr:row>
      <xdr:rowOff>106680</xdr:rowOff>
    </xdr:to>
    <xdr:pic>
      <xdr:nvPicPr>
        <xdr:cNvPr id="2" name="Graphic 1" descr="Search Inventory with solid fill">
          <a:extLst>
            <a:ext uri="{FF2B5EF4-FFF2-40B4-BE49-F238E27FC236}">
              <a16:creationId xmlns:a16="http://schemas.microsoft.com/office/drawing/2014/main" id="{73AEC012-A313-4C30-99B4-8D8F19A3C9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335280"/>
          <a:ext cx="899160" cy="784860"/>
        </a:xfrm>
        <a:prstGeom prst="rect">
          <a:avLst/>
        </a:prstGeom>
      </xdr:spPr>
    </xdr:pic>
    <xdr:clientData/>
  </xdr:twoCellAnchor>
  <xdr:twoCellAnchor>
    <xdr:from>
      <xdr:col>1</xdr:col>
      <xdr:colOff>45720</xdr:colOff>
      <xdr:row>6</xdr:row>
      <xdr:rowOff>60960</xdr:rowOff>
    </xdr:from>
    <xdr:to>
      <xdr:col>2</xdr:col>
      <xdr:colOff>7620</xdr:colOff>
      <xdr:row>9</xdr:row>
      <xdr:rowOff>76200</xdr:rowOff>
    </xdr:to>
    <xdr:sp macro="" textlink="">
      <xdr:nvSpPr>
        <xdr:cNvPr id="3" name="Rectangle 2">
          <a:extLst>
            <a:ext uri="{FF2B5EF4-FFF2-40B4-BE49-F238E27FC236}">
              <a16:creationId xmlns:a16="http://schemas.microsoft.com/office/drawing/2014/main" id="{323A35AD-0C1E-4F84-BFE0-C3332CA3EBE4}"/>
            </a:ext>
          </a:extLst>
        </xdr:cNvPr>
        <xdr:cNvSpPr/>
      </xdr:nvSpPr>
      <xdr:spPr>
        <a:xfrm>
          <a:off x="365760" y="1257300"/>
          <a:ext cx="1744980" cy="5638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Inventory Management</a:t>
          </a:r>
          <a:r>
            <a:rPr lang="en-US" sz="1400" b="1" baseline="0"/>
            <a:t> System</a:t>
          </a:r>
          <a:endParaRPr lang="en-US" sz="1400" b="1"/>
        </a:p>
      </xdr:txBody>
    </xdr:sp>
    <xdr:clientData/>
  </xdr:twoCellAnchor>
  <xdr:twoCellAnchor>
    <xdr:from>
      <xdr:col>1</xdr:col>
      <xdr:colOff>592454</xdr:colOff>
      <xdr:row>10</xdr:row>
      <xdr:rowOff>83820</xdr:rowOff>
    </xdr:from>
    <xdr:to>
      <xdr:col>1</xdr:col>
      <xdr:colOff>1598294</xdr:colOff>
      <xdr:row>12</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9AB06919-2425-4B51-88EE-4EAFF64DA3CF}"/>
            </a:ext>
          </a:extLst>
        </xdr:cNvPr>
        <xdr:cNvSpPr/>
      </xdr:nvSpPr>
      <xdr:spPr>
        <a:xfrm>
          <a:off x="912494" y="2011680"/>
          <a:ext cx="1005840" cy="3352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Dashboard</a:t>
          </a:r>
        </a:p>
      </xdr:txBody>
    </xdr:sp>
    <xdr:clientData/>
  </xdr:twoCellAnchor>
  <xdr:twoCellAnchor>
    <xdr:from>
      <xdr:col>1</xdr:col>
      <xdr:colOff>592454</xdr:colOff>
      <xdr:row>12</xdr:row>
      <xdr:rowOff>110490</xdr:rowOff>
    </xdr:from>
    <xdr:to>
      <xdr:col>1</xdr:col>
      <xdr:colOff>1644014</xdr:colOff>
      <xdr:row>14</xdr:row>
      <xdr:rowOff>64770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50C9212A-E56A-48EF-B3E5-B1116ECC4D6C}"/>
            </a:ext>
          </a:extLst>
        </xdr:cNvPr>
        <xdr:cNvSpPr/>
      </xdr:nvSpPr>
      <xdr:spPr>
        <a:xfrm>
          <a:off x="912494" y="2404110"/>
          <a:ext cx="10515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1946DC0D-1C38-43C8-9075-EA9EF6508C29}"/>
            </a:ext>
          </a:extLst>
        </xdr:cNvPr>
        <xdr:cNvSpPr/>
      </xdr:nvSpPr>
      <xdr:spPr>
        <a:xfrm>
          <a:off x="912494" y="278130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Purchase</a:t>
          </a:r>
        </a:p>
      </xdr:txBody>
    </xdr:sp>
    <xdr:clientData/>
  </xdr:twoCellAnchor>
  <xdr:twoCellAnchor>
    <xdr:from>
      <xdr:col>1</xdr:col>
      <xdr:colOff>592454</xdr:colOff>
      <xdr:row>16</xdr:row>
      <xdr:rowOff>133350</xdr:rowOff>
    </xdr:from>
    <xdr:to>
      <xdr:col>1</xdr:col>
      <xdr:colOff>1583055</xdr:colOff>
      <xdr:row>18</xdr:row>
      <xdr:rowOff>125730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01BCEE40-E158-43AC-88A6-D2FDD204072D}"/>
            </a:ext>
          </a:extLst>
        </xdr:cNvPr>
        <xdr:cNvSpPr/>
      </xdr:nvSpPr>
      <xdr:spPr>
        <a:xfrm>
          <a:off x="912494" y="3158490"/>
          <a:ext cx="990601" cy="3581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solidFill>
            </a:rPr>
            <a:t>Sales</a:t>
          </a:r>
        </a:p>
      </xdr:txBody>
    </xdr:sp>
    <xdr:clientData/>
  </xdr:twoCellAnchor>
  <xdr:twoCellAnchor>
    <xdr:from>
      <xdr:col>1</xdr:col>
      <xdr:colOff>592454</xdr:colOff>
      <xdr:row>19</xdr:row>
      <xdr:rowOff>0</xdr:rowOff>
    </xdr:from>
    <xdr:to>
      <xdr:col>1</xdr:col>
      <xdr:colOff>1636393</xdr:colOff>
      <xdr:row>20</xdr:row>
      <xdr:rowOff>137160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FEC0789F-075E-4C16-B15B-3AFD69F8C540}"/>
            </a:ext>
          </a:extLst>
        </xdr:cNvPr>
        <xdr:cNvSpPr/>
      </xdr:nvSpPr>
      <xdr:spPr>
        <a:xfrm>
          <a:off x="912494" y="3573780"/>
          <a:ext cx="1043939"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Supplier</a:t>
          </a:r>
        </a:p>
      </xdr:txBody>
    </xdr:sp>
    <xdr:clientData/>
  </xdr:twoCellAnchor>
  <xdr:twoCellAnchor editAs="oneCell">
    <xdr:from>
      <xdr:col>1</xdr:col>
      <xdr:colOff>60960</xdr:colOff>
      <xdr:row>10</xdr:row>
      <xdr:rowOff>114300</xdr:rowOff>
    </xdr:from>
    <xdr:to>
      <xdr:col>1</xdr:col>
      <xdr:colOff>240960</xdr:colOff>
      <xdr:row>11</xdr:row>
      <xdr:rowOff>111420</xdr:rowOff>
    </xdr:to>
    <xdr:pic>
      <xdr:nvPicPr>
        <xdr:cNvPr id="9" name="Graphic 8" descr="Bar chart with solid fill">
          <a:extLst>
            <a:ext uri="{FF2B5EF4-FFF2-40B4-BE49-F238E27FC236}">
              <a16:creationId xmlns:a16="http://schemas.microsoft.com/office/drawing/2014/main" id="{5B63E300-76AA-471E-A1D7-393BC565F18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0" y="2042160"/>
          <a:ext cx="180000" cy="180000"/>
        </a:xfrm>
        <a:prstGeom prst="rect">
          <a:avLst/>
        </a:prstGeom>
      </xdr:spPr>
    </xdr:pic>
    <xdr:clientData/>
  </xdr:twoCellAnchor>
  <xdr:twoCellAnchor editAs="oneCell">
    <xdr:from>
      <xdr:col>1</xdr:col>
      <xdr:colOff>60960</xdr:colOff>
      <xdr:row>12</xdr:row>
      <xdr:rowOff>167640</xdr:rowOff>
    </xdr:from>
    <xdr:to>
      <xdr:col>1</xdr:col>
      <xdr:colOff>240960</xdr:colOff>
      <xdr:row>13</xdr:row>
      <xdr:rowOff>164760</xdr:rowOff>
    </xdr:to>
    <xdr:pic>
      <xdr:nvPicPr>
        <xdr:cNvPr id="10" name="Graphic 9" descr="Clipboard Checked outline">
          <a:extLst>
            <a:ext uri="{FF2B5EF4-FFF2-40B4-BE49-F238E27FC236}">
              <a16:creationId xmlns:a16="http://schemas.microsoft.com/office/drawing/2014/main" id="{4D109B32-15B3-4551-9D06-236AC2A28B8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461260"/>
          <a:ext cx="180000" cy="180000"/>
        </a:xfrm>
        <a:prstGeom prst="rect">
          <a:avLst/>
        </a:prstGeom>
      </xdr:spPr>
    </xdr:pic>
    <xdr:clientData/>
  </xdr:twoCellAnchor>
  <xdr:twoCellAnchor editAs="oneCell">
    <xdr:from>
      <xdr:col>1</xdr:col>
      <xdr:colOff>60960</xdr:colOff>
      <xdr:row>15</xdr:row>
      <xdr:rowOff>30480</xdr:rowOff>
    </xdr:from>
    <xdr:to>
      <xdr:col>1</xdr:col>
      <xdr:colOff>240960</xdr:colOff>
      <xdr:row>16</xdr:row>
      <xdr:rowOff>27600</xdr:rowOff>
    </xdr:to>
    <xdr:pic>
      <xdr:nvPicPr>
        <xdr:cNvPr id="11" name="Graphic 10" descr="Register outline">
          <a:extLst>
            <a:ext uri="{FF2B5EF4-FFF2-40B4-BE49-F238E27FC236}">
              <a16:creationId xmlns:a16="http://schemas.microsoft.com/office/drawing/2014/main" id="{8460D26D-7803-4F34-8359-02AC04D5BF7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72740"/>
          <a:ext cx="180000" cy="180000"/>
        </a:xfrm>
        <a:prstGeom prst="rect">
          <a:avLst/>
        </a:prstGeom>
      </xdr:spPr>
    </xdr:pic>
    <xdr:clientData/>
  </xdr:twoCellAnchor>
  <xdr:twoCellAnchor editAs="oneCell">
    <xdr:from>
      <xdr:col>1</xdr:col>
      <xdr:colOff>60960</xdr:colOff>
      <xdr:row>17</xdr:row>
      <xdr:rowOff>60960</xdr:rowOff>
    </xdr:from>
    <xdr:to>
      <xdr:col>1</xdr:col>
      <xdr:colOff>240960</xdr:colOff>
      <xdr:row>18</xdr:row>
      <xdr:rowOff>58080</xdr:rowOff>
    </xdr:to>
    <xdr:pic>
      <xdr:nvPicPr>
        <xdr:cNvPr id="12" name="Graphic 11" descr="Receipt outline">
          <a:extLst>
            <a:ext uri="{FF2B5EF4-FFF2-40B4-BE49-F238E27FC236}">
              <a16:creationId xmlns:a16="http://schemas.microsoft.com/office/drawing/2014/main" id="{79941B79-1307-4196-9DFF-F5ACC33E4E6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0" y="3268980"/>
          <a:ext cx="180000" cy="180000"/>
        </a:xfrm>
        <a:prstGeom prst="rect">
          <a:avLst/>
        </a:prstGeom>
      </xdr:spPr>
    </xdr:pic>
    <xdr:clientData/>
  </xdr:twoCellAnchor>
  <xdr:twoCellAnchor editAs="oneCell">
    <xdr:from>
      <xdr:col>1</xdr:col>
      <xdr:colOff>60960</xdr:colOff>
      <xdr:row>19</xdr:row>
      <xdr:rowOff>45720</xdr:rowOff>
    </xdr:from>
    <xdr:to>
      <xdr:col>1</xdr:col>
      <xdr:colOff>240960</xdr:colOff>
      <xdr:row>20</xdr:row>
      <xdr:rowOff>42840</xdr:rowOff>
    </xdr:to>
    <xdr:pic>
      <xdr:nvPicPr>
        <xdr:cNvPr id="13" name="Graphic 12" descr="User with solid fill">
          <a:extLst>
            <a:ext uri="{FF2B5EF4-FFF2-40B4-BE49-F238E27FC236}">
              <a16:creationId xmlns:a16="http://schemas.microsoft.com/office/drawing/2014/main" id="{CBE53498-CD23-4145-8D6F-4CF6296FF2A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1000" y="3619500"/>
          <a:ext cx="180000" cy="180000"/>
        </a:xfrm>
        <a:prstGeom prst="rect">
          <a:avLst/>
        </a:prstGeom>
      </xdr:spPr>
    </xdr:pic>
    <xdr:clientData/>
  </xdr:twoCellAnchor>
  <xdr:twoCellAnchor editAs="absolute">
    <xdr:from>
      <xdr:col>3</xdr:col>
      <xdr:colOff>0</xdr:colOff>
      <xdr:row>1</xdr:row>
      <xdr:rowOff>22860</xdr:rowOff>
    </xdr:from>
    <xdr:to>
      <xdr:col>11</xdr:col>
      <xdr:colOff>1143000</xdr:colOff>
      <xdr:row>3</xdr:row>
      <xdr:rowOff>167640</xdr:rowOff>
    </xdr:to>
    <xdr:sp macro="" textlink="">
      <xdr:nvSpPr>
        <xdr:cNvPr id="14" name="Rectangle 13">
          <a:extLst>
            <a:ext uri="{FF2B5EF4-FFF2-40B4-BE49-F238E27FC236}">
              <a16:creationId xmlns:a16="http://schemas.microsoft.com/office/drawing/2014/main" id="{B532FA7E-4D6F-4472-945E-95917BEE1222}"/>
            </a:ext>
          </a:extLst>
        </xdr:cNvPr>
        <xdr:cNvSpPr/>
      </xdr:nvSpPr>
      <xdr:spPr>
        <a:xfrm>
          <a:off x="2346960" y="304800"/>
          <a:ext cx="10347960" cy="5105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1"/>
            <a:t>           </a:t>
          </a:r>
          <a:r>
            <a:rPr lang="en-US" sz="4400" b="1"/>
            <a:t>Sales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381000</xdr:colOff>
      <xdr:row>1</xdr:row>
      <xdr:rowOff>53340</xdr:rowOff>
    </xdr:from>
    <xdr:to>
      <xdr:col>1</xdr:col>
      <xdr:colOff>1280160</xdr:colOff>
      <xdr:row>5</xdr:row>
      <xdr:rowOff>106680</xdr:rowOff>
    </xdr:to>
    <xdr:pic>
      <xdr:nvPicPr>
        <xdr:cNvPr id="2" name="Graphic 1" descr="Search Inventory with solid fill">
          <a:extLst>
            <a:ext uri="{FF2B5EF4-FFF2-40B4-BE49-F238E27FC236}">
              <a16:creationId xmlns:a16="http://schemas.microsoft.com/office/drawing/2014/main" id="{AA830A9E-26E0-451E-829F-BA41D49B74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040" y="335280"/>
          <a:ext cx="899160" cy="784860"/>
        </a:xfrm>
        <a:prstGeom prst="rect">
          <a:avLst/>
        </a:prstGeom>
      </xdr:spPr>
    </xdr:pic>
    <xdr:clientData/>
  </xdr:twoCellAnchor>
  <xdr:twoCellAnchor>
    <xdr:from>
      <xdr:col>1</xdr:col>
      <xdr:colOff>45720</xdr:colOff>
      <xdr:row>6</xdr:row>
      <xdr:rowOff>60960</xdr:rowOff>
    </xdr:from>
    <xdr:to>
      <xdr:col>1</xdr:col>
      <xdr:colOff>1767840</xdr:colOff>
      <xdr:row>9</xdr:row>
      <xdr:rowOff>76200</xdr:rowOff>
    </xdr:to>
    <xdr:sp macro="" textlink="">
      <xdr:nvSpPr>
        <xdr:cNvPr id="3" name="Rectangle 2">
          <a:extLst>
            <a:ext uri="{FF2B5EF4-FFF2-40B4-BE49-F238E27FC236}">
              <a16:creationId xmlns:a16="http://schemas.microsoft.com/office/drawing/2014/main" id="{67C15AB8-43E2-4BDB-AB2D-EF5A7212B37F}"/>
            </a:ext>
          </a:extLst>
        </xdr:cNvPr>
        <xdr:cNvSpPr/>
      </xdr:nvSpPr>
      <xdr:spPr>
        <a:xfrm>
          <a:off x="365760" y="1257300"/>
          <a:ext cx="1722120" cy="5638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Inventory Management</a:t>
          </a:r>
          <a:r>
            <a:rPr lang="en-US" sz="1400" b="1" baseline="0"/>
            <a:t> System</a:t>
          </a:r>
          <a:endParaRPr lang="en-US" sz="1400" b="1"/>
        </a:p>
      </xdr:txBody>
    </xdr:sp>
    <xdr:clientData/>
  </xdr:twoCellAnchor>
  <xdr:twoCellAnchor>
    <xdr:from>
      <xdr:col>1</xdr:col>
      <xdr:colOff>592454</xdr:colOff>
      <xdr:row>10</xdr:row>
      <xdr:rowOff>83820</xdr:rowOff>
    </xdr:from>
    <xdr:to>
      <xdr:col>1</xdr:col>
      <xdr:colOff>1598294</xdr:colOff>
      <xdr:row>12</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C29BE58E-3E15-42BA-8EC6-A567161046F8}"/>
            </a:ext>
          </a:extLst>
        </xdr:cNvPr>
        <xdr:cNvSpPr/>
      </xdr:nvSpPr>
      <xdr:spPr>
        <a:xfrm>
          <a:off x="912494" y="2011680"/>
          <a:ext cx="1005840" cy="33528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Dashboard</a:t>
          </a:r>
        </a:p>
      </xdr:txBody>
    </xdr:sp>
    <xdr:clientData/>
  </xdr:twoCellAnchor>
  <xdr:twoCellAnchor>
    <xdr:from>
      <xdr:col>1</xdr:col>
      <xdr:colOff>592454</xdr:colOff>
      <xdr:row>12</xdr:row>
      <xdr:rowOff>110490</xdr:rowOff>
    </xdr:from>
    <xdr:to>
      <xdr:col>1</xdr:col>
      <xdr:colOff>1644014</xdr:colOff>
      <xdr:row>14</xdr:row>
      <xdr:rowOff>64770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2FF0DFB1-A0C8-4E5D-B481-82A8A6CE799E}"/>
            </a:ext>
          </a:extLst>
        </xdr:cNvPr>
        <xdr:cNvSpPr/>
      </xdr:nvSpPr>
      <xdr:spPr>
        <a:xfrm>
          <a:off x="912494" y="2404110"/>
          <a:ext cx="10515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Inventory</a:t>
          </a:r>
        </a:p>
      </xdr:txBody>
    </xdr:sp>
    <xdr:clientData/>
  </xdr:twoCellAnchor>
  <xdr:twoCellAnchor>
    <xdr:from>
      <xdr:col>1</xdr:col>
      <xdr:colOff>592454</xdr:colOff>
      <xdr:row>14</xdr:row>
      <xdr:rowOff>121920</xdr:rowOff>
    </xdr:from>
    <xdr:to>
      <xdr:col>1</xdr:col>
      <xdr:colOff>1491614</xdr:colOff>
      <xdr:row>16</xdr:row>
      <xdr:rowOff>76200</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6FDABD96-6045-49CD-B845-70BC64BB249E}"/>
            </a:ext>
          </a:extLst>
        </xdr:cNvPr>
        <xdr:cNvSpPr/>
      </xdr:nvSpPr>
      <xdr:spPr>
        <a:xfrm>
          <a:off x="912494" y="2781300"/>
          <a:ext cx="899160"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Purchase</a:t>
          </a:r>
        </a:p>
      </xdr:txBody>
    </xdr:sp>
    <xdr:clientData/>
  </xdr:twoCellAnchor>
  <xdr:twoCellAnchor>
    <xdr:from>
      <xdr:col>1</xdr:col>
      <xdr:colOff>592454</xdr:colOff>
      <xdr:row>16</xdr:row>
      <xdr:rowOff>133350</xdr:rowOff>
    </xdr:from>
    <xdr:to>
      <xdr:col>1</xdr:col>
      <xdr:colOff>1583055</xdr:colOff>
      <xdr:row>18</xdr:row>
      <xdr:rowOff>125730</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91DB660C-3DB3-47B6-99AA-133A74665814}"/>
            </a:ext>
          </a:extLst>
        </xdr:cNvPr>
        <xdr:cNvSpPr/>
      </xdr:nvSpPr>
      <xdr:spPr>
        <a:xfrm>
          <a:off x="912494" y="3158490"/>
          <a:ext cx="990601" cy="3581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lumMod val="50000"/>
                  <a:lumOff val="50000"/>
                </a:schemeClr>
              </a:solidFill>
            </a:rPr>
            <a:t>Sales</a:t>
          </a:r>
        </a:p>
      </xdr:txBody>
    </xdr:sp>
    <xdr:clientData/>
  </xdr:twoCellAnchor>
  <xdr:twoCellAnchor>
    <xdr:from>
      <xdr:col>1</xdr:col>
      <xdr:colOff>592454</xdr:colOff>
      <xdr:row>19</xdr:row>
      <xdr:rowOff>0</xdr:rowOff>
    </xdr:from>
    <xdr:to>
      <xdr:col>1</xdr:col>
      <xdr:colOff>1636393</xdr:colOff>
      <xdr:row>20</xdr:row>
      <xdr:rowOff>137160</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D6FA2A70-63AC-41C3-ADE2-AB2C0015449F}"/>
            </a:ext>
          </a:extLst>
        </xdr:cNvPr>
        <xdr:cNvSpPr/>
      </xdr:nvSpPr>
      <xdr:spPr>
        <a:xfrm>
          <a:off x="912494" y="3573780"/>
          <a:ext cx="1043939" cy="32004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400" b="1">
              <a:solidFill>
                <a:schemeClr val="tx1"/>
              </a:solidFill>
            </a:rPr>
            <a:t>Supplier</a:t>
          </a:r>
        </a:p>
      </xdr:txBody>
    </xdr:sp>
    <xdr:clientData/>
  </xdr:twoCellAnchor>
  <xdr:twoCellAnchor editAs="oneCell">
    <xdr:from>
      <xdr:col>1</xdr:col>
      <xdr:colOff>60960</xdr:colOff>
      <xdr:row>10</xdr:row>
      <xdr:rowOff>114300</xdr:rowOff>
    </xdr:from>
    <xdr:to>
      <xdr:col>1</xdr:col>
      <xdr:colOff>240960</xdr:colOff>
      <xdr:row>11</xdr:row>
      <xdr:rowOff>111420</xdr:rowOff>
    </xdr:to>
    <xdr:pic>
      <xdr:nvPicPr>
        <xdr:cNvPr id="9" name="Graphic 8" descr="Bar chart with solid fill">
          <a:extLst>
            <a:ext uri="{FF2B5EF4-FFF2-40B4-BE49-F238E27FC236}">
              <a16:creationId xmlns:a16="http://schemas.microsoft.com/office/drawing/2014/main" id="{B0CAA18E-7A62-4AFD-9028-D93D0DCB55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0" y="2042160"/>
          <a:ext cx="180000" cy="180000"/>
        </a:xfrm>
        <a:prstGeom prst="rect">
          <a:avLst/>
        </a:prstGeom>
      </xdr:spPr>
    </xdr:pic>
    <xdr:clientData/>
  </xdr:twoCellAnchor>
  <xdr:twoCellAnchor editAs="oneCell">
    <xdr:from>
      <xdr:col>1</xdr:col>
      <xdr:colOff>60960</xdr:colOff>
      <xdr:row>12</xdr:row>
      <xdr:rowOff>167640</xdr:rowOff>
    </xdr:from>
    <xdr:to>
      <xdr:col>1</xdr:col>
      <xdr:colOff>240960</xdr:colOff>
      <xdr:row>13</xdr:row>
      <xdr:rowOff>164760</xdr:rowOff>
    </xdr:to>
    <xdr:pic>
      <xdr:nvPicPr>
        <xdr:cNvPr id="10" name="Graphic 9" descr="Clipboard Checked outline">
          <a:extLst>
            <a:ext uri="{FF2B5EF4-FFF2-40B4-BE49-F238E27FC236}">
              <a16:creationId xmlns:a16="http://schemas.microsoft.com/office/drawing/2014/main" id="{B2194853-6571-4E9C-A98D-D04249FAA8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0" y="2461260"/>
          <a:ext cx="180000" cy="180000"/>
        </a:xfrm>
        <a:prstGeom prst="rect">
          <a:avLst/>
        </a:prstGeom>
      </xdr:spPr>
    </xdr:pic>
    <xdr:clientData/>
  </xdr:twoCellAnchor>
  <xdr:twoCellAnchor editAs="oneCell">
    <xdr:from>
      <xdr:col>1</xdr:col>
      <xdr:colOff>60960</xdr:colOff>
      <xdr:row>15</xdr:row>
      <xdr:rowOff>30480</xdr:rowOff>
    </xdr:from>
    <xdr:to>
      <xdr:col>1</xdr:col>
      <xdr:colOff>240960</xdr:colOff>
      <xdr:row>16</xdr:row>
      <xdr:rowOff>27600</xdr:rowOff>
    </xdr:to>
    <xdr:pic>
      <xdr:nvPicPr>
        <xdr:cNvPr id="11" name="Graphic 10" descr="Register outline">
          <a:extLst>
            <a:ext uri="{FF2B5EF4-FFF2-40B4-BE49-F238E27FC236}">
              <a16:creationId xmlns:a16="http://schemas.microsoft.com/office/drawing/2014/main" id="{D231125D-2935-4A51-9B8F-53F6B88CD8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0" y="2872740"/>
          <a:ext cx="180000" cy="180000"/>
        </a:xfrm>
        <a:prstGeom prst="rect">
          <a:avLst/>
        </a:prstGeom>
      </xdr:spPr>
    </xdr:pic>
    <xdr:clientData/>
  </xdr:twoCellAnchor>
  <xdr:twoCellAnchor editAs="oneCell">
    <xdr:from>
      <xdr:col>1</xdr:col>
      <xdr:colOff>60960</xdr:colOff>
      <xdr:row>17</xdr:row>
      <xdr:rowOff>60960</xdr:rowOff>
    </xdr:from>
    <xdr:to>
      <xdr:col>1</xdr:col>
      <xdr:colOff>240960</xdr:colOff>
      <xdr:row>18</xdr:row>
      <xdr:rowOff>58080</xdr:rowOff>
    </xdr:to>
    <xdr:pic>
      <xdr:nvPicPr>
        <xdr:cNvPr id="12" name="Graphic 11" descr="Receipt outline">
          <a:extLst>
            <a:ext uri="{FF2B5EF4-FFF2-40B4-BE49-F238E27FC236}">
              <a16:creationId xmlns:a16="http://schemas.microsoft.com/office/drawing/2014/main" id="{C34C54A1-4F09-4501-846D-8253DCA9AAE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81000" y="3268980"/>
          <a:ext cx="180000" cy="180000"/>
        </a:xfrm>
        <a:prstGeom prst="rect">
          <a:avLst/>
        </a:prstGeom>
      </xdr:spPr>
    </xdr:pic>
    <xdr:clientData/>
  </xdr:twoCellAnchor>
  <xdr:twoCellAnchor editAs="oneCell">
    <xdr:from>
      <xdr:col>1</xdr:col>
      <xdr:colOff>60960</xdr:colOff>
      <xdr:row>19</xdr:row>
      <xdr:rowOff>45720</xdr:rowOff>
    </xdr:from>
    <xdr:to>
      <xdr:col>1</xdr:col>
      <xdr:colOff>240960</xdr:colOff>
      <xdr:row>20</xdr:row>
      <xdr:rowOff>42840</xdr:rowOff>
    </xdr:to>
    <xdr:pic>
      <xdr:nvPicPr>
        <xdr:cNvPr id="13" name="Graphic 12" descr="User with solid fill">
          <a:extLst>
            <a:ext uri="{FF2B5EF4-FFF2-40B4-BE49-F238E27FC236}">
              <a16:creationId xmlns:a16="http://schemas.microsoft.com/office/drawing/2014/main" id="{BA4C9F01-36BF-46C0-9F92-5C64E501345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1000" y="3619500"/>
          <a:ext cx="180000" cy="180000"/>
        </a:xfrm>
        <a:prstGeom prst="rect">
          <a:avLst/>
        </a:prstGeom>
      </xdr:spPr>
    </xdr:pic>
    <xdr:clientData/>
  </xdr:twoCellAnchor>
  <xdr:twoCellAnchor>
    <xdr:from>
      <xdr:col>3</xdr:col>
      <xdr:colOff>0</xdr:colOff>
      <xdr:row>1</xdr:row>
      <xdr:rowOff>22860</xdr:rowOff>
    </xdr:from>
    <xdr:to>
      <xdr:col>11</xdr:col>
      <xdr:colOff>38100</xdr:colOff>
      <xdr:row>3</xdr:row>
      <xdr:rowOff>167640</xdr:rowOff>
    </xdr:to>
    <xdr:sp macro="" textlink="">
      <xdr:nvSpPr>
        <xdr:cNvPr id="14" name="Rectangle 13">
          <a:extLst>
            <a:ext uri="{FF2B5EF4-FFF2-40B4-BE49-F238E27FC236}">
              <a16:creationId xmlns:a16="http://schemas.microsoft.com/office/drawing/2014/main" id="{4BF466A6-12C3-425D-B672-33521BB2EE20}"/>
            </a:ext>
          </a:extLst>
        </xdr:cNvPr>
        <xdr:cNvSpPr/>
      </xdr:nvSpPr>
      <xdr:spPr>
        <a:xfrm>
          <a:off x="2362200" y="304800"/>
          <a:ext cx="11193780" cy="51054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1"/>
            <a:t>           </a:t>
          </a:r>
          <a:r>
            <a:rPr lang="en-US" sz="4400" b="1"/>
            <a:t>Supplier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ika Fagette" refreshedDate="46210.670591782407" createdVersion="8" refreshedVersion="8" minRefreshableVersion="3" recordCount="43" xr:uid="{3263DD78-ADBB-4D56-8D6E-5E9EE8A18B37}">
  <cacheSource type="worksheet">
    <worksheetSource name="Inventory"/>
  </cacheSource>
  <cacheFields count="13">
    <cacheField name="Invent ID" numFmtId="0">
      <sharedItems containsBlank="1"/>
    </cacheField>
    <cacheField name="Product_Name" numFmtId="0">
      <sharedItems containsBlank="1" count="20">
        <s v=" Pantry"/>
        <s v="Fresh Produce"/>
        <s v="House Cake"/>
        <s v="Seafood"/>
        <s v="Personal Care"/>
        <s v="Beverages"/>
        <s v="Dairy"/>
        <s v="Meat"/>
        <s v="Fresh Wine"/>
        <s v="Kitchen Hanger"/>
        <s v="Waste Paper"/>
        <s v="Beauty Care"/>
        <s v="Make-up Table"/>
        <s v="Children's Table"/>
        <s v="Apple Juice"/>
        <s v="Coffe Maker"/>
        <s v="Plastic Cup"/>
        <s v="Olive Plate"/>
        <s v="Liquid Soap"/>
        <m/>
      </sharedItems>
    </cacheField>
    <cacheField name="Purchase" numFmtId="0">
      <sharedItems containsMixedTypes="1" containsNumber="1" containsInteger="1" minValue="6" maxValue="300"/>
    </cacheField>
    <cacheField name="Sales" numFmtId="0">
      <sharedItems containsMixedTypes="1" containsNumber="1" containsInteger="1" minValue="0" maxValue="156"/>
    </cacheField>
    <cacheField name="Available_Stock" numFmtId="0">
      <sharedItems containsMixedTypes="1" containsNumber="1" containsInteger="1" minValue="0" maxValue="161"/>
    </cacheField>
    <cacheField name="Reorder_Level" numFmtId="0">
      <sharedItems containsString="0" containsBlank="1" containsNumber="1" containsInteger="1" minValue="10" maxValue="30"/>
    </cacheField>
    <cacheField name="Unit_Cost" numFmtId="165">
      <sharedItems containsMixedTypes="1" containsNumber="1" minValue="2.99" maxValue="10.02"/>
    </cacheField>
    <cacheField name="Unit_Price" numFmtId="165">
      <sharedItems containsString="0" containsBlank="1" containsNumber="1" minValue="4.59" maxValue="12.99"/>
    </cacheField>
    <cacheField name="Profit" numFmtId="165">
      <sharedItems containsMixedTypes="1" containsNumber="1" minValue="0.96" maxValue="3.6100000000000003"/>
    </cacheField>
    <cacheField name="Total_Profit" numFmtId="165">
      <sharedItems containsMixedTypes="1" containsNumber="1" minValue="0" maxValue="286.57999999999987"/>
    </cacheField>
    <cacheField name="Total_Amount" numFmtId="165">
      <sharedItems containsMixedTypes="1" containsNumber="1" minValue="0" maxValue="1205.9999999999998"/>
    </cacheField>
    <cacheField name="Status" numFmtId="0">
      <sharedItems/>
    </cacheField>
    <cacheField name="Notisfication" numFmtId="0">
      <sharedItems/>
    </cacheField>
  </cacheFields>
  <extLst>
    <ext xmlns:x14="http://schemas.microsoft.com/office/spreadsheetml/2009/9/main" uri="{725AE2AE-9491-48be-B2B4-4EB974FC3084}">
      <x14:pivotCacheDefinition pivotCacheId="7818048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ika Fagette" refreshedDate="46210.670592129631" createdVersion="8" refreshedVersion="8" minRefreshableVersion="3" recordCount="24" xr:uid="{D497EAFF-E70B-4EF0-8792-153DD864ACF2}">
  <cacheSource type="worksheet">
    <worksheetSource name="Table3"/>
  </cacheSource>
  <cacheFields count="10">
    <cacheField name="ProductID" numFmtId="0">
      <sharedItems/>
    </cacheField>
    <cacheField name="Product_Description" numFmtId="0">
      <sharedItems/>
    </cacheField>
    <cacheField name="SuppliersID" numFmtId="0">
      <sharedItems/>
    </cacheField>
    <cacheField name="Suppliers_Name" numFmtId="0">
      <sharedItems/>
    </cacheField>
    <cacheField name="Date" numFmtId="164">
      <sharedItems containsSemiMixedTypes="0" containsNonDate="0" containsDate="1" containsString="0" minDate="2025-02-27T00:00:00" maxDate="2025-06-14T00:00:00"/>
    </cacheField>
    <cacheField name="Purchase" numFmtId="0">
      <sharedItems containsSemiMixedTypes="0" containsString="0" containsNumber="1" containsInteger="1" minValue="5" maxValue="300"/>
    </cacheField>
    <cacheField name="Available_Stock" numFmtId="0">
      <sharedItems containsSemiMixedTypes="0" containsString="0" containsNumber="1" containsInteger="1" minValue="0" maxValue="161"/>
    </cacheField>
    <cacheField name="Unit_cost" numFmtId="165">
      <sharedItems containsSemiMixedTypes="0" containsString="0" containsNumber="1" minValue="2.99" maxValue="10.02"/>
    </cacheField>
    <cacheField name="Total_Value" numFmtId="165">
      <sharedItems containsSemiMixedTypes="0" containsString="0" containsNumber="1" minValue="19.950000000000003" maxValue="2097"/>
    </cacheField>
    <cacheField name="Month" numFmtId="0">
      <sharedItems containsBlank="1" count="6">
        <s v="feb"/>
        <s v="mar"/>
        <s v="abr"/>
        <s v="may"/>
        <s v="jun"/>
        <m u="1"/>
      </sharedItems>
    </cacheField>
  </cacheFields>
  <extLst>
    <ext xmlns:x14="http://schemas.microsoft.com/office/spreadsheetml/2009/9/main" uri="{725AE2AE-9491-48be-B2B4-4EB974FC3084}">
      <x14:pivotCacheDefinition pivotCacheId="281658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ika Fagette" refreshedDate="46210.670592476854" createdVersion="8" refreshedVersion="8" minRefreshableVersion="3" recordCount="29" xr:uid="{67644353-E155-4F5C-A297-A9C181C5A409}">
  <cacheSource type="worksheet">
    <worksheetSource name="Table4"/>
  </cacheSource>
  <cacheFields count="9">
    <cacheField name="Sales ID" numFmtId="0">
      <sharedItems containsBlank="1"/>
    </cacheField>
    <cacheField name="product_Name" numFmtId="0">
      <sharedItems/>
    </cacheField>
    <cacheField name="Client_Name" numFmtId="0">
      <sharedItems containsBlank="1"/>
    </cacheField>
    <cacheField name="Date" numFmtId="0">
      <sharedItems containsNonDate="0" containsDate="1" containsString="0" containsBlank="1" minDate="2025-03-27T00:00:00" maxDate="2025-06-16T00:00:00"/>
    </cacheField>
    <cacheField name="Unit_sold" numFmtId="0">
      <sharedItems containsString="0" containsBlank="1" containsNumber="1" containsInteger="1" minValue="0" maxValue="156"/>
    </cacheField>
    <cacheField name="Avaliable_stock" numFmtId="0">
      <sharedItems containsMixedTypes="1" containsNumber="1" containsInteger="1" minValue="0" maxValue="161"/>
    </cacheField>
    <cacheField name="Unit_Price" numFmtId="165">
      <sharedItems containsString="0" containsBlank="1" containsNumber="1" minValue="4.59" maxValue="12.99"/>
    </cacheField>
    <cacheField name="Total_Price" numFmtId="165">
      <sharedItems containsString="0" containsBlank="1" containsNumber="1" minValue="0" maxValue="2026.44"/>
    </cacheField>
    <cacheField name="Month" numFmtId="0">
      <sharedItems count="5">
        <s v="mar"/>
        <s v="abr"/>
        <s v="may"/>
        <s v="jun"/>
        <s v=""/>
      </sharedItems>
    </cacheField>
  </cacheFields>
  <extLst>
    <ext xmlns:x14="http://schemas.microsoft.com/office/spreadsheetml/2009/9/main" uri="{725AE2AE-9491-48be-B2B4-4EB974FC3084}">
      <x14:pivotCacheDefinition pivotCacheId="18350529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ika Fagette" refreshedDate="46210.670592824077" createdVersion="8" refreshedVersion="8" minRefreshableVersion="3" recordCount="23" xr:uid="{208574E6-90A6-45EF-8E1C-DAB8026D18A9}">
  <cacheSource type="worksheet">
    <worksheetSource name="suppliers"/>
  </cacheSource>
  <cacheFields count="8">
    <cacheField name="ProductID" numFmtId="0">
      <sharedItems containsBlank="1"/>
    </cacheField>
    <cacheField name="Client_Name" numFmtId="0">
      <sharedItems containsBlank="1" count="10">
        <s v="PT Agro Raya"/>
        <s v="PT Nusantara Supplier"/>
        <s v="PT Segar Makmur"/>
        <s v="PT Bakerindo"/>
        <s v="PT Indo Fresh"/>
        <s v="PT Beverage Nusantara"/>
        <s v="PT DailyDairy"/>
        <s v="PT Hygienic Supplies"/>
        <s v="PT Frozen Express"/>
        <m/>
      </sharedItems>
    </cacheField>
    <cacheField name="Items_Supplied" numFmtId="0">
      <sharedItems containsBlank="1"/>
    </cacheField>
    <cacheField name="Phone" numFmtId="0">
      <sharedItems containsBlank="1"/>
    </cacheField>
    <cacheField name="Email" numFmtId="0">
      <sharedItems containsBlank="1"/>
    </cacheField>
    <cacheField name="Address" numFmtId="0">
      <sharedItems containsBlank="1"/>
    </cacheField>
    <cacheField name="Reorder" numFmtId="0">
      <sharedItems containsString="0" containsBlank="1" containsNumber="1" containsInteger="1" minValue="3" maxValue="59"/>
    </cacheField>
    <cacheField name="Lead_Date" numFmtId="0">
      <sharedItems containsString="0" containsBlank="1" containsNumber="1" containsInteger="1" minValue="1" maxValue="7"/>
    </cacheField>
  </cacheFields>
  <extLst>
    <ext xmlns:x14="http://schemas.microsoft.com/office/spreadsheetml/2009/9/main" uri="{725AE2AE-9491-48be-B2B4-4EB974FC3084}">
      <x14:pivotCacheDefinition pivotCacheId="504146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INV0001"/>
    <x v="0"/>
    <n v="154"/>
    <n v="99"/>
    <n v="55"/>
    <n v="10"/>
    <n v="9.07"/>
    <n v="11.07"/>
    <n v="2"/>
    <n v="110"/>
    <n v="608.85"/>
    <s v="Available_Stock"/>
    <s v=""/>
  </r>
  <r>
    <s v="INV0002"/>
    <x v="1"/>
    <n v="178"/>
    <n v="156"/>
    <n v="22"/>
    <n v="30"/>
    <n v="10.02"/>
    <n v="12.99"/>
    <n v="2.9700000000000006"/>
    <n v="65.340000000000018"/>
    <n v="285.78000000000003"/>
    <s v="Low Stock"/>
    <s v=""/>
  </r>
  <r>
    <s v="INV0003"/>
    <x v="2"/>
    <n v="91"/>
    <n v="69"/>
    <n v="22"/>
    <n v="10"/>
    <n v="5.99"/>
    <n v="7.05"/>
    <n v="1.0599999999999996"/>
    <n v="23.319999999999993"/>
    <n v="155.1"/>
    <s v="Available_Stock"/>
    <s v=""/>
  </r>
  <r>
    <s v="INV0004"/>
    <x v="3"/>
    <n v="300"/>
    <n v="150"/>
    <n v="150"/>
    <n v="10"/>
    <n v="6.99"/>
    <n v="8.0399999999999991"/>
    <n v="1.0499999999999989"/>
    <n v="157.49999999999983"/>
    <n v="1205.9999999999998"/>
    <s v="Available_Stock"/>
    <s v=""/>
  </r>
  <r>
    <s v="INV0005"/>
    <x v="4"/>
    <n v="97"/>
    <n v="28"/>
    <n v="69"/>
    <n v="15"/>
    <n v="2.99"/>
    <n v="4.59"/>
    <n v="1.5999999999999996"/>
    <n v="110.39999999999998"/>
    <n v="316.70999999999998"/>
    <s v="Available_Stock"/>
    <s v=""/>
  </r>
  <r>
    <s v="INV0006"/>
    <x v="5"/>
    <n v="65"/>
    <n v="0"/>
    <n v="65"/>
    <n v="15"/>
    <n v="6.66"/>
    <n v="9.0299999999999994"/>
    <n v="2.3699999999999992"/>
    <n v="154.04999999999995"/>
    <n v="586.94999999999993"/>
    <s v="Available_Stock"/>
    <s v=""/>
  </r>
  <r>
    <s v="INV0007"/>
    <x v="6"/>
    <n v="175"/>
    <n v="56"/>
    <n v="119"/>
    <n v="20"/>
    <n v="7.67"/>
    <n v="9.25"/>
    <n v="1.58"/>
    <n v="188.02"/>
    <n v="1100.75"/>
    <s v="Available_Stock"/>
    <s v=""/>
  </r>
  <r>
    <s v="INV0008"/>
    <x v="7"/>
    <n v="54"/>
    <n v="31"/>
    <n v="23"/>
    <n v="20"/>
    <n v="8.4"/>
    <n v="9.99"/>
    <n v="1.5899999999999999"/>
    <n v="36.569999999999993"/>
    <n v="229.77"/>
    <s v="Available_Stock"/>
    <s v=""/>
  </r>
  <r>
    <s v="INV0009"/>
    <x v="8"/>
    <n v="149"/>
    <n v="149"/>
    <n v="0"/>
    <n v="20"/>
    <n v="4.5999999999999996"/>
    <n v="5.56"/>
    <n v="0.96"/>
    <n v="0"/>
    <n v="0"/>
    <s v="Out of Stock"/>
    <s v="📞 Fresh Wine is out of stock. PT DailyDairy: +1-315-726-8986"/>
  </r>
  <r>
    <s v="INV0010"/>
    <x v="9"/>
    <n v="160"/>
    <n v="140"/>
    <n v="20"/>
    <n v="20"/>
    <n v="5.99"/>
    <n v="7.13"/>
    <n v="1.1399999999999997"/>
    <n v="22.799999999999994"/>
    <n v="142.6"/>
    <s v="Available_Stock"/>
    <s v=""/>
  </r>
  <r>
    <s v="INV0011"/>
    <x v="10"/>
    <n v="161"/>
    <n v="0"/>
    <n v="161"/>
    <n v="10"/>
    <n v="3.99"/>
    <n v="5.77"/>
    <n v="1.7799999999999994"/>
    <n v="286.57999999999987"/>
    <n v="928.96999999999991"/>
    <s v="Available_Stock"/>
    <s v=""/>
  </r>
  <r>
    <s v="INV0012"/>
    <x v="11"/>
    <n v="60"/>
    <n v="60"/>
    <n v="0"/>
    <n v="20"/>
    <n v="9.06"/>
    <n v="11.5"/>
    <n v="2.4399999999999995"/>
    <n v="0"/>
    <n v="0"/>
    <s v="Out of Stock"/>
    <s v="📞 Beauty Care is out of stock. PT Agro Raya: +1-319-543-2253"/>
  </r>
  <r>
    <s v="INV0013"/>
    <x v="12"/>
    <n v="75"/>
    <n v="72"/>
    <n v="3"/>
    <n v="10"/>
    <n v="6.45"/>
    <n v="7.5"/>
    <n v="1.0499999999999998"/>
    <n v="3.1499999999999995"/>
    <n v="22.5"/>
    <s v="Low Stock"/>
    <s v=""/>
  </r>
  <r>
    <s v="INV0014"/>
    <x v="13"/>
    <n v="149"/>
    <n v="61"/>
    <n v="88"/>
    <n v="20"/>
    <n v="5.99"/>
    <n v="6.99"/>
    <n v="1"/>
    <n v="88"/>
    <n v="615.12"/>
    <s v="Available_Stock"/>
    <s v=""/>
  </r>
  <r>
    <s v="INV0015"/>
    <x v="14"/>
    <n v="6"/>
    <n v="0"/>
    <n v="6"/>
    <n v="20"/>
    <n v="4.22"/>
    <n v="5.99"/>
    <n v="1.7700000000000005"/>
    <n v="10.620000000000003"/>
    <n v="35.94"/>
    <s v="Low Stock"/>
    <s v=""/>
  </r>
  <r>
    <s v="INV0016"/>
    <x v="15"/>
    <n v="176"/>
    <n v="67"/>
    <n v="109"/>
    <n v="20"/>
    <n v="4.88"/>
    <n v="6.12"/>
    <n v="1.2400000000000002"/>
    <n v="135.16000000000003"/>
    <n v="667.08"/>
    <s v="Available_Stock"/>
    <s v=""/>
  </r>
  <r>
    <s v="INV0017"/>
    <x v="16"/>
    <n v="146"/>
    <n v="86"/>
    <n v="60"/>
    <n v="10"/>
    <n v="4.1900000000000004"/>
    <n v="5.88"/>
    <n v="1.6899999999999995"/>
    <n v="101.39999999999998"/>
    <n v="352.8"/>
    <s v="Available_Stock"/>
    <s v=""/>
  </r>
  <r>
    <s v="INV0018"/>
    <x v="17"/>
    <n v="104"/>
    <n v="76"/>
    <n v="28"/>
    <n v="10"/>
    <n v="4.1100000000000003"/>
    <n v="6.19"/>
    <n v="2.08"/>
    <n v="58.24"/>
    <n v="173.32000000000002"/>
    <s v="Available_Stock"/>
    <s v=""/>
  </r>
  <r>
    <s v="INV0019"/>
    <x v="18"/>
    <n v="151"/>
    <n v="131"/>
    <n v="20"/>
    <n v="15"/>
    <n v="5.44"/>
    <n v="9.0500000000000007"/>
    <n v="3.6100000000000003"/>
    <n v="72.2"/>
    <n v="181"/>
    <s v="Available_Stock"/>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r>
    <m/>
    <x v="19"/>
    <s v=""/>
    <s v=""/>
    <s v=""/>
    <m/>
    <s v=""/>
    <m/>
    <s v=""/>
    <s v=""/>
    <s v=""/>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INV0001"/>
    <s v=" Pantry"/>
    <s v="SUP0001"/>
    <s v="PT Agro Raya"/>
    <d v="2025-02-27T00:00:00"/>
    <n v="154"/>
    <n v="55"/>
    <n v="9.07"/>
    <n v="1396.78"/>
    <x v="0"/>
  </r>
  <r>
    <s v="INV0002"/>
    <s v="Fresh Produce"/>
    <s v="SUP0002"/>
    <s v="PT Nusantara Supplier"/>
    <d v="2025-02-28T00:00:00"/>
    <n v="178"/>
    <n v="22"/>
    <n v="10.02"/>
    <n v="1783.56"/>
    <x v="0"/>
  </r>
  <r>
    <s v="INV0003"/>
    <s v="House Cake"/>
    <s v="SUP0003"/>
    <s v="PT Segar Makmur"/>
    <d v="2025-03-01T00:00:00"/>
    <n v="91"/>
    <n v="22"/>
    <n v="5.99"/>
    <n v="545.09"/>
    <x v="1"/>
  </r>
  <r>
    <s v="INV0004"/>
    <s v="Seafood"/>
    <s v="SUP0004"/>
    <s v="PT Bakerindo"/>
    <d v="2025-03-02T00:00:00"/>
    <n v="300"/>
    <n v="150"/>
    <n v="6.99"/>
    <n v="2097"/>
    <x v="1"/>
  </r>
  <r>
    <s v="INV0005"/>
    <s v="Personal Care"/>
    <s v="SUP0005"/>
    <s v="PT Indo Fresh"/>
    <d v="2025-03-03T00:00:00"/>
    <n v="97"/>
    <n v="69"/>
    <n v="2.99"/>
    <n v="290.03000000000003"/>
    <x v="1"/>
  </r>
  <r>
    <s v="INV0006"/>
    <s v="Beverages"/>
    <s v="SUP0006"/>
    <s v="PT Nusantara Supplier"/>
    <d v="2025-03-04T00:00:00"/>
    <n v="50"/>
    <n v="65"/>
    <n v="6.66"/>
    <n v="333"/>
    <x v="1"/>
  </r>
  <r>
    <s v="INV0007"/>
    <s v="Dairy"/>
    <s v="SUP0007"/>
    <s v="PT Indo Fresh"/>
    <d v="2025-03-05T00:00:00"/>
    <n v="175"/>
    <n v="119"/>
    <n v="7.67"/>
    <n v="1342.25"/>
    <x v="1"/>
  </r>
  <r>
    <s v="INV0008"/>
    <s v="Meat"/>
    <s v="SUP0008"/>
    <s v="PT Beverage Nusantara"/>
    <d v="2025-03-06T00:00:00"/>
    <n v="54"/>
    <n v="23"/>
    <n v="8.4"/>
    <n v="453.6"/>
    <x v="1"/>
  </r>
  <r>
    <s v="INV0009"/>
    <s v="Fresh Wine"/>
    <s v="SUP0009"/>
    <s v="PT DailyDairy"/>
    <d v="2025-03-07T00:00:00"/>
    <n v="149"/>
    <n v="0"/>
    <n v="4.5999999999999996"/>
    <n v="685.4"/>
    <x v="1"/>
  </r>
  <r>
    <s v="INV0010"/>
    <s v="Kitchen Hanger"/>
    <s v="SUP0010"/>
    <s v="PT Beverage Nusantara"/>
    <d v="2025-03-08T00:00:00"/>
    <n v="160"/>
    <n v="20"/>
    <n v="5.99"/>
    <n v="958.40000000000009"/>
    <x v="1"/>
  </r>
  <r>
    <s v="INV0011"/>
    <s v="Waste Paper"/>
    <s v="SUP0011"/>
    <s v="PT Indo Fresh"/>
    <d v="2025-03-09T00:00:00"/>
    <n v="156"/>
    <n v="161"/>
    <n v="3.99"/>
    <n v="622.44000000000005"/>
    <x v="1"/>
  </r>
  <r>
    <s v="INV0012"/>
    <s v="Beauty Care"/>
    <s v="SUP0012"/>
    <s v="PT Agro Raya"/>
    <d v="2025-04-01T00:00:00"/>
    <n v="40"/>
    <n v="0"/>
    <n v="9.06"/>
    <n v="362.40000000000003"/>
    <x v="2"/>
  </r>
  <r>
    <s v="INV0013"/>
    <s v="Make-up Table"/>
    <s v="SUP0013"/>
    <s v="PT Hygienic Supplies"/>
    <d v="2025-04-03T00:00:00"/>
    <n v="75"/>
    <n v="3"/>
    <n v="6.45"/>
    <n v="483.75"/>
    <x v="2"/>
  </r>
  <r>
    <s v="INV0014"/>
    <s v="Children's Table"/>
    <s v="SUP0014"/>
    <s v="PT Nusantara Supplier"/>
    <d v="2025-04-05T00:00:00"/>
    <n v="149"/>
    <n v="88"/>
    <n v="5.99"/>
    <n v="892.51"/>
    <x v="2"/>
  </r>
  <r>
    <s v="INV0015"/>
    <s v="Apple Juice"/>
    <s v="SUP0015"/>
    <s v="PT Frozen Express"/>
    <d v="2025-04-07T00:00:00"/>
    <n v="6"/>
    <n v="6"/>
    <n v="4.22"/>
    <n v="25.32"/>
    <x v="2"/>
  </r>
  <r>
    <s v="INV0016"/>
    <s v="Coffe Maker"/>
    <s v="SUP0016"/>
    <s v="PT Beverage Nusantara"/>
    <d v="2025-04-10T00:00:00"/>
    <n v="176"/>
    <n v="109"/>
    <n v="4.88"/>
    <n v="858.88"/>
    <x v="2"/>
  </r>
  <r>
    <s v="INV0017"/>
    <s v="Plastic Cup"/>
    <s v="SUP0017"/>
    <s v="PT Nusantara Supplier"/>
    <d v="2025-04-20T00:00:00"/>
    <n v="146"/>
    <n v="60"/>
    <n v="4.1900000000000004"/>
    <n v="611.74"/>
    <x v="2"/>
  </r>
  <r>
    <s v="INV0018"/>
    <s v="Olive Plate"/>
    <s v="SUP0018"/>
    <s v="PT Nusantara Supplier"/>
    <d v="2025-05-01T00:00:00"/>
    <n v="104"/>
    <n v="28"/>
    <n v="4.1100000000000003"/>
    <n v="427.44000000000005"/>
    <x v="3"/>
  </r>
  <r>
    <s v="INV0019"/>
    <s v="Liquid Soap"/>
    <s v="SUP0019"/>
    <s v="PT Segar Makmur"/>
    <d v="2025-05-06T00:00:00"/>
    <n v="121"/>
    <n v="20"/>
    <n v="5.44"/>
    <n v="658.24"/>
    <x v="3"/>
  </r>
  <r>
    <s v="INV0019"/>
    <s v="Liquid Soap"/>
    <s v="SUP0019"/>
    <s v="PT Segar Makmur"/>
    <d v="2025-06-07T00:00:00"/>
    <n v="10"/>
    <n v="20"/>
    <n v="5.44"/>
    <n v="54.400000000000006"/>
    <x v="4"/>
  </r>
  <r>
    <s v="INV0019"/>
    <s v="Liquid Soap"/>
    <s v="SUP0019"/>
    <s v="PT Segar Makmur"/>
    <d v="2025-06-10T00:00:00"/>
    <n v="20"/>
    <n v="20"/>
    <n v="5.44"/>
    <n v="108.80000000000001"/>
    <x v="4"/>
  </r>
  <r>
    <s v="INV0012"/>
    <s v="Beauty Care"/>
    <s v="SUP0012"/>
    <s v="PT Agro Raya"/>
    <d v="2025-06-11T00:00:00"/>
    <n v="20"/>
    <n v="0"/>
    <n v="9.06"/>
    <n v="181.20000000000002"/>
    <x v="4"/>
  </r>
  <r>
    <s v="INV0006"/>
    <s v="Beverages"/>
    <s v="SUP0006"/>
    <s v="PT Nusantara Supplier"/>
    <d v="2025-06-12T00:00:00"/>
    <n v="15"/>
    <n v="65"/>
    <n v="6.66"/>
    <n v="99.9"/>
    <x v="4"/>
  </r>
  <r>
    <s v="INV0011"/>
    <s v="Waste Paper"/>
    <s v="SUP0011"/>
    <s v="PT Indo Fresh"/>
    <d v="2025-06-13T00:00:00"/>
    <n v="5"/>
    <n v="161"/>
    <n v="3.99"/>
    <n v="19.950000000000003"/>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INV0001"/>
    <s v=" Pantry"/>
    <s v="John Smith"/>
    <d v="2025-03-27T00:00:00"/>
    <n v="49"/>
    <n v="55"/>
    <n v="11.07"/>
    <n v="542.43000000000006"/>
    <x v="0"/>
  </r>
  <r>
    <s v="INV0002"/>
    <s v="Fresh Produce"/>
    <s v="John Smith"/>
    <d v="2025-03-28T00:00:00"/>
    <n v="156"/>
    <n v="22"/>
    <n v="12.99"/>
    <n v="2026.44"/>
    <x v="0"/>
  </r>
  <r>
    <s v="INV0003"/>
    <s v="House Cake"/>
    <s v="Robert Garcia"/>
    <d v="2025-03-29T00:00:00"/>
    <n v="69"/>
    <n v="22"/>
    <n v="7.05"/>
    <n v="486.45"/>
    <x v="0"/>
  </r>
  <r>
    <s v="INV0004"/>
    <s v="Seafood"/>
    <s v="Susan Thompson"/>
    <d v="2025-03-30T00:00:00"/>
    <n v="0"/>
    <n v="150"/>
    <n v="8.0399999999999991"/>
    <n v="0"/>
    <x v="0"/>
  </r>
  <r>
    <s v="INV0005"/>
    <s v="Personal Care"/>
    <s v="Thomas Garcia"/>
    <d v="2025-03-31T00:00:00"/>
    <n v="28"/>
    <n v="69"/>
    <n v="4.59"/>
    <n v="128.51999999999998"/>
    <x v="0"/>
  </r>
  <r>
    <s v="INV0006"/>
    <s v="Beverages"/>
    <s v="Lisa Martinez"/>
    <d v="2025-04-01T00:00:00"/>
    <n v="0"/>
    <n v="65"/>
    <n v="9.0299999999999994"/>
    <n v="0"/>
    <x v="1"/>
  </r>
  <r>
    <s v="INV0007"/>
    <s v="Dairy"/>
    <s v="Barbara Harris"/>
    <d v="2025-04-02T00:00:00"/>
    <n v="56"/>
    <n v="119"/>
    <n v="9.25"/>
    <n v="518"/>
    <x v="1"/>
  </r>
  <r>
    <s v="INV0008"/>
    <s v="Meat"/>
    <s v="Karen Lewis"/>
    <d v="2025-04-03T00:00:00"/>
    <n v="31"/>
    <n v="23"/>
    <n v="9.99"/>
    <n v="309.69"/>
    <x v="1"/>
  </r>
  <r>
    <s v="INV0009"/>
    <s v="Fresh Wine"/>
    <s v="Jennifer Miller"/>
    <d v="2025-04-04T00:00:00"/>
    <n v="140"/>
    <n v="0"/>
    <n v="5.56"/>
    <n v="778.4"/>
    <x v="1"/>
  </r>
  <r>
    <s v="INV0010"/>
    <s v="Kitchen Hanger"/>
    <s v="Patricia Taylor"/>
    <d v="2025-04-05T00:00:00"/>
    <n v="135"/>
    <n v="20"/>
    <n v="7.13"/>
    <n v="962.55"/>
    <x v="1"/>
  </r>
  <r>
    <s v="INV0011"/>
    <s v="Waste Paper"/>
    <s v="John Smith"/>
    <d v="2025-04-06T00:00:00"/>
    <n v="0"/>
    <n v="161"/>
    <n v="5.77"/>
    <n v="0"/>
    <x v="1"/>
  </r>
  <r>
    <s v="INV0012"/>
    <s v="Beauty Care"/>
    <s v="Patricia Taylor"/>
    <d v="2025-04-07T00:00:00"/>
    <n v="15"/>
    <n v="0"/>
    <n v="11.5"/>
    <n v="172.5"/>
    <x v="1"/>
  </r>
  <r>
    <s v="INV0013"/>
    <s v="Make-up Table"/>
    <s v="Barbara Harris"/>
    <d v="2025-04-08T00:00:00"/>
    <n v="70"/>
    <n v="3"/>
    <n v="7.5"/>
    <n v="525"/>
    <x v="1"/>
  </r>
  <r>
    <s v="INV0014"/>
    <s v="Children's Table"/>
    <s v="Joseph Martin"/>
    <d v="2025-04-09T00:00:00"/>
    <n v="61"/>
    <n v="88"/>
    <n v="6.99"/>
    <n v="426.39"/>
    <x v="1"/>
  </r>
  <r>
    <s v="INV0015"/>
    <s v="Apple Juice"/>
    <s v="Nancy Hall"/>
    <d v="2025-04-10T00:00:00"/>
    <n v="0"/>
    <n v="6"/>
    <n v="5.99"/>
    <n v="0"/>
    <x v="1"/>
  </r>
  <r>
    <s v="INV0016"/>
    <s v="Coffe Maker"/>
    <s v="Charles Walker"/>
    <d v="2025-04-11T00:00:00"/>
    <n v="67"/>
    <n v="109"/>
    <n v="6.12"/>
    <n v="410.04"/>
    <x v="1"/>
  </r>
  <r>
    <s v="INV0017"/>
    <s v="Plastic Cup"/>
    <s v="Susan Thompson"/>
    <d v="2025-04-12T00:00:00"/>
    <n v="86"/>
    <n v="60"/>
    <n v="5.88"/>
    <n v="505.68"/>
    <x v="1"/>
  </r>
  <r>
    <s v="INV0018"/>
    <s v="Olive Plate"/>
    <s v="Nancy Hall"/>
    <d v="2025-04-13T00:00:00"/>
    <n v="76"/>
    <n v="28"/>
    <n v="6.19"/>
    <n v="470.44000000000005"/>
    <x v="1"/>
  </r>
  <r>
    <s v="INV0019"/>
    <s v="Liquid Soap"/>
    <s v="Thomas Garcia"/>
    <d v="2025-05-26T00:00:00"/>
    <n v="94"/>
    <n v="20"/>
    <n v="9.0500000000000007"/>
    <n v="850.7"/>
    <x v="2"/>
  </r>
  <r>
    <s v="INV0019"/>
    <s v="Liquid Soap"/>
    <s v="Nancy Hall"/>
    <d v="2025-05-27T00:00:00"/>
    <n v="20"/>
    <n v="20"/>
    <n v="9.0500000000000007"/>
    <n v="181"/>
    <x v="2"/>
  </r>
  <r>
    <s v="INV0001"/>
    <s v=" Pantry"/>
    <s v="Jan kiss"/>
    <d v="2025-05-29T00:00:00"/>
    <n v="50"/>
    <n v="55"/>
    <n v="11.07"/>
    <n v="553.5"/>
    <x v="2"/>
  </r>
  <r>
    <s v="INV0019"/>
    <s v="Liquid Soap"/>
    <s v="Patricia Taylor"/>
    <d v="2025-06-10T00:00:00"/>
    <n v="17"/>
    <n v="20"/>
    <n v="9.0500000000000007"/>
    <n v="153.85000000000002"/>
    <x v="3"/>
  </r>
  <r>
    <s v="INV0013"/>
    <s v="Make-up Table"/>
    <s v="Charles Walker"/>
    <d v="2025-06-11T00:00:00"/>
    <n v="2"/>
    <n v="3"/>
    <n v="7.5"/>
    <n v="15"/>
    <x v="3"/>
  </r>
  <r>
    <s v="INV0012"/>
    <s v="Beauty Care"/>
    <s v="Patricia Taylor"/>
    <d v="2025-06-12T00:00:00"/>
    <n v="45"/>
    <n v="0"/>
    <n v="11.5"/>
    <n v="517.5"/>
    <x v="3"/>
  </r>
  <r>
    <s v="INV0009"/>
    <s v="Fresh Wine"/>
    <s v="Victor"/>
    <d v="2025-06-13T00:00:00"/>
    <n v="9"/>
    <n v="0"/>
    <n v="5.56"/>
    <n v="50.04"/>
    <x v="3"/>
  </r>
  <r>
    <s v="INV0010"/>
    <s v="Kitchen Hanger"/>
    <s v="bek"/>
    <d v="2025-06-14T00:00:00"/>
    <n v="5"/>
    <n v="20"/>
    <n v="7.13"/>
    <n v="35.65"/>
    <x v="3"/>
  </r>
  <r>
    <s v="INV0004"/>
    <s v="Seafood"/>
    <s v="bassy"/>
    <d v="2025-06-15T00:00:00"/>
    <n v="150"/>
    <n v="150"/>
    <n v="8.0399999999999991"/>
    <n v="1205.9999999999998"/>
    <x v="3"/>
  </r>
  <r>
    <m/>
    <s v=""/>
    <m/>
    <m/>
    <m/>
    <s v=""/>
    <m/>
    <m/>
    <x v="4"/>
  </r>
  <r>
    <m/>
    <s v=""/>
    <m/>
    <m/>
    <m/>
    <s v=""/>
    <m/>
    <m/>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SUP0001"/>
    <x v="0"/>
    <s v=" Pantry"/>
    <s v="+1-319-194-8332"/>
    <s v="juan@gmail.com"/>
    <s v="1309 Maple Drive, Apt 84, Seattle, NY 11991"/>
    <n v="3"/>
    <n v="4"/>
  </r>
  <r>
    <s v="SUP0002"/>
    <x v="1"/>
    <s v="Fresh Produce"/>
    <s v="+1-317-713-5325"/>
    <s v="ibex45@gmail.com"/>
    <s v="1506 Main Avenue, Apt 216, Atlanta, WA 68256"/>
    <n v="10"/>
    <n v="5"/>
  </r>
  <r>
    <s v="SUP0003"/>
    <x v="2"/>
    <s v="House Cake"/>
    <s v="+1-311-559-3646"/>
    <s v="restip@gmail.com"/>
    <s v="6937 Hill Road, Apt 1, Boston, CO 15026"/>
    <n v="50"/>
    <n v="5"/>
  </r>
  <r>
    <s v="SUP0004"/>
    <x v="3"/>
    <s v="Seafood"/>
    <s v="+1-317-108-4477"/>
    <s v="mobis@gmail.com"/>
    <s v="9520 Oak Street, Apt 480, Boston, AZ 35275"/>
    <n v="43"/>
    <n v="7"/>
  </r>
  <r>
    <s v="SUP0005"/>
    <x v="4"/>
    <s v="Personal Care"/>
    <s v="+1-313-329-2167"/>
    <s v="sas@gmail.com"/>
    <s v="2939 Park Drive, Apt 220, New York, NC 97799"/>
    <n v="21"/>
    <n v="5"/>
  </r>
  <r>
    <s v="SUP0006"/>
    <x v="1"/>
    <s v="Beverages"/>
    <s v="+1-315-823-4017"/>
    <s v="emmy@gmail.com"/>
    <s v="3475 Maple Road, Apt 459, Chicago, GA 10195"/>
    <n v="8"/>
    <n v="3"/>
  </r>
  <r>
    <s v="SUP0007"/>
    <x v="4"/>
    <s v="Dairy"/>
    <s v="+1-319-142-3391"/>
    <s v="ddy@gmail.com"/>
    <s v="5619 Cedar Street, Apt 489, Chicago, TX 31233"/>
    <n v="9"/>
    <n v="4"/>
  </r>
  <r>
    <s v="SUP0008"/>
    <x v="5"/>
    <s v="Meat"/>
    <s v="+1-315-726-8985"/>
    <s v="teddy@outlook.com"/>
    <s v="1849 Washington Drive, Apt 49, Denver, TX 60713"/>
    <n v="12"/>
    <n v="3"/>
  </r>
  <r>
    <s v="SUP0009"/>
    <x v="6"/>
    <s v="Fresh Wine"/>
    <s v="+1-315-726-8986"/>
    <s v="gocia@hotmail.com"/>
    <s v="4323 Pine Avenue, Apt 353, New York, WA 46056"/>
    <n v="34"/>
    <n v="4"/>
  </r>
  <r>
    <s v="SUP0010"/>
    <x v="5"/>
    <s v="Kitchen Hanger"/>
    <s v="+1-317-812-3021"/>
    <s v="455@gmail.com"/>
    <s v="8518 Elm Avenue, Apt 265, Phoenix, CO 40853"/>
    <n v="25"/>
    <n v="6"/>
  </r>
  <r>
    <s v="SUP0011"/>
    <x v="4"/>
    <s v="Waste Paper"/>
    <s v="+1-312-330-3571"/>
    <s v="purchase336@gmail.com"/>
    <s v="1558 Washington Street, Apt 326, Denver, CA 68985"/>
    <n v="16"/>
    <n v="6"/>
  </r>
  <r>
    <s v="SUP0012"/>
    <x v="0"/>
    <s v="Beauty Care"/>
    <s v="+1-319-543-2253"/>
    <s v="great44@gmail.com"/>
    <s v="8894 Maple Road, Apt 9, Atlanta, FL 25732"/>
    <n v="17"/>
    <n v="7"/>
  </r>
  <r>
    <s v="SUP0013"/>
    <x v="7"/>
    <s v="Make-up Table"/>
    <s v="+1-316-951-5851"/>
    <s v="sales338@gmail.com"/>
    <s v="9178 Main Drive, Apt 232, Chicago, NY 43696"/>
    <n v="48"/>
    <n v="5"/>
  </r>
  <r>
    <s v="SUP0014"/>
    <x v="1"/>
    <s v="Children's Table"/>
    <s v="+1-316-754-5515"/>
    <s v="Tyy881@gmail.com"/>
    <s v="2345 Washington Avenue, Apt 400, Dallas, AZ 66586"/>
    <n v="19"/>
    <n v="4"/>
  </r>
  <r>
    <s v="SUP0015"/>
    <x v="8"/>
    <s v="Apple Juice"/>
    <s v="+1-311-785-1107"/>
    <s v="supplier315@gmail.com"/>
    <s v="959 Hill Avenue, Apt 114, New York, FL 58937"/>
    <n v="37"/>
    <n v="1"/>
  </r>
  <r>
    <s v="SUP0016"/>
    <x v="5"/>
    <s v="Coffe Maker"/>
    <s v="+1-319-625-7374"/>
    <s v="BBY312@gmail.com"/>
    <s v="9568 Park Street, Apt 393, Phoenix, AZ 67597"/>
    <n v="29"/>
    <n v="3"/>
  </r>
  <r>
    <s v="SUP0017"/>
    <x v="1"/>
    <s v="Plastic Cup"/>
    <s v="+1-314-255-7671"/>
    <s v="850@gmail.com"/>
    <s v="9000 Pine Street, Apt 238, New York, GA 76777"/>
    <n v="56"/>
    <n v="3"/>
  </r>
  <r>
    <s v="SUP0018"/>
    <x v="1"/>
    <s v="Olive Plate"/>
    <s v="+1-315-211-3364"/>
    <s v="VYT685@gmail.com"/>
    <s v="8817 Pine Street, Apt 51, Houston, GA 70773"/>
    <n v="13"/>
    <n v="4"/>
  </r>
  <r>
    <s v="SUP0019"/>
    <x v="2"/>
    <s v="Liquid Soap"/>
    <s v="+1-319-912-9041"/>
    <s v="GBT42@gmail.com"/>
    <s v="1820 Maple Street, Apt 470, Seattle, IL 57934"/>
    <n v="59"/>
    <n v="7"/>
  </r>
  <r>
    <m/>
    <x v="9"/>
    <m/>
    <m/>
    <m/>
    <m/>
    <m/>
    <m/>
  </r>
  <r>
    <m/>
    <x v="9"/>
    <m/>
    <m/>
    <m/>
    <m/>
    <m/>
    <m/>
  </r>
  <r>
    <m/>
    <x v="9"/>
    <m/>
    <m/>
    <m/>
    <m/>
    <m/>
    <m/>
  </r>
  <r>
    <m/>
    <x v="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CB13DA-E53D-48A2-882D-69897037B8B3}"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7:A28" firstHeaderRow="1" firstDataRow="1" firstDataCol="0"/>
  <pivotFields count="10">
    <pivotField showAll="0"/>
    <pivotField showAll="0"/>
    <pivotField showAll="0"/>
    <pivotField showAll="0"/>
    <pivotField showAll="0"/>
    <pivotField showAll="0"/>
    <pivotField showAll="0"/>
    <pivotField showAll="0"/>
    <pivotField dataField="1" showAll="0"/>
    <pivotField showAll="0">
      <items count="7">
        <item x="0"/>
        <item x="1"/>
        <item x="2"/>
        <item x="3"/>
        <item x="4"/>
        <item m="1" x="5"/>
        <item t="default"/>
      </items>
    </pivotField>
  </pivotFields>
  <rowItems count="1">
    <i/>
  </rowItems>
  <colItems count="1">
    <i/>
  </colItems>
  <dataFields count="1">
    <dataField name="Sum of Total_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A658C-B6DB-4D7A-9079-12EB6FCA3F3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_Profit" fld="9"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5A0C8-15FE-408C-8F2A-072CEE39ADE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A58" firstHeaderRow="1" firstDataRow="1" firstDataCol="0"/>
  <pivotFields count="9">
    <pivotField showAll="0"/>
    <pivotField showAll="0"/>
    <pivotField showAll="0"/>
    <pivotField showAll="0"/>
    <pivotField showAll="0"/>
    <pivotField showAll="0"/>
    <pivotField showAll="0"/>
    <pivotField dataField="1" showAll="0"/>
    <pivotField showAll="0" sortType="descending">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Total_Price" fld="7"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7E96E6-361E-4667-BF6F-D9D71506966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A11" firstHeaderRow="1" firstDataRow="1" firstDataCol="0"/>
  <pivotFields count="1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4B02C-38F7-4F20-9478-69FEBEBC6C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8" firstHeaderRow="1" firstDataRow="1" firstDataCol="1"/>
  <pivotFields count="13">
    <pivotField showAll="0"/>
    <pivotField axis="axisRow" showAll="0" measureFilter="1" sortType="descending">
      <items count="21">
        <item x="19"/>
        <item x="10"/>
        <item x="3"/>
        <item x="16"/>
        <item x="4"/>
        <item x="17"/>
        <item x="7"/>
        <item x="12"/>
        <item x="18"/>
        <item x="9"/>
        <item x="2"/>
        <item x="8"/>
        <item x="1"/>
        <item x="6"/>
        <item x="15"/>
        <item x="13"/>
        <item x="5"/>
        <item x="11"/>
        <item x="1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v="1"/>
    </i>
    <i>
      <x v="13"/>
    </i>
    <i>
      <x v="2"/>
    </i>
    <i>
      <x v="16"/>
    </i>
    <i>
      <x v="14"/>
    </i>
    <i t="grand">
      <x/>
    </i>
  </rowItems>
  <colItems count="1">
    <i/>
  </colItems>
  <dataFields count="1">
    <dataField name="Sum of Total_Profit" fld="9" baseField="1" baseItem="0"/>
  </dataFields>
  <formats count="1">
    <format dxfId="10">
      <pivotArea collapsedLevelsAreSubtotals="1" fieldPosition="0">
        <references count="1">
          <reference field="1" count="5">
            <x v="1"/>
            <x v="13"/>
            <x v="14"/>
            <x v="15"/>
            <x v="19"/>
          </reference>
        </references>
      </pivotArea>
    </format>
  </format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15"/>
          </reference>
        </references>
      </pivotArea>
    </chartFormat>
    <chartFormat chart="3" format="5">
      <pivotArea type="data" outline="0" fieldPosition="0">
        <references count="2">
          <reference field="4294967294" count="1" selected="0">
            <x v="0"/>
          </reference>
          <reference field="1" count="1" selected="0">
            <x v="14"/>
          </reference>
        </references>
      </pivotArea>
    </chartFormat>
    <chartFormat chart="3" format="6">
      <pivotArea type="data" outline="0" fieldPosition="0">
        <references count="2">
          <reference field="4294967294" count="1" selected="0">
            <x v="0"/>
          </reference>
          <reference field="1" count="1" selected="0">
            <x v="19"/>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080F4E-6A91-4F71-86A6-77AB9F920E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Available_Stock"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8EBD70-1E05-4D79-9E95-29898407CFED}"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0:B26"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sortType="descending">
      <items count="7">
        <item m="1" x="5"/>
        <item x="3"/>
        <item x="2"/>
        <item x="1"/>
        <item x="0"/>
        <item x="4"/>
        <item t="default"/>
      </items>
      <autoSortScope>
        <pivotArea dataOnly="0" outline="0" fieldPosition="0">
          <references count="1">
            <reference field="4294967294" count="1" selected="0">
              <x v="0"/>
            </reference>
          </references>
        </pivotArea>
      </autoSortScope>
    </pivotField>
  </pivotFields>
  <rowFields count="1">
    <field x="9"/>
  </rowFields>
  <rowItems count="6">
    <i>
      <x v="3"/>
    </i>
    <i>
      <x v="2"/>
    </i>
    <i>
      <x v="4"/>
    </i>
    <i>
      <x v="1"/>
    </i>
    <i>
      <x v="5"/>
    </i>
    <i t="grand">
      <x/>
    </i>
  </rowItems>
  <colItems count="1">
    <i/>
  </colItems>
  <dataFields count="1">
    <dataField name="Sum of Total_Value" fld="8" baseField="0" baseItem="0"/>
  </dataFields>
  <formats count="1">
    <format dxfId="11">
      <pivotArea collapsedLevelsAreSubtotals="1" fieldPosition="0">
        <references count="1">
          <reference field="9" count="0"/>
        </references>
      </pivotArea>
    </format>
  </formats>
  <chartFormats count="6">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7975C0-6509-4B16-9759-97DF93EC29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Total_Amount" fld="10"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4D8F7-8028-4604-ADF5-40A3957BF38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50" firstHeaderRow="1" firstDataRow="1" firstDataCol="1"/>
  <pivotFields count="8">
    <pivotField showAll="0"/>
    <pivotField axis="axisRow" showAll="0" sortType="descending">
      <items count="11">
        <item h="1" x="9"/>
        <item x="2"/>
        <item x="1"/>
        <item x="4"/>
        <item h="1" x="7"/>
        <item h="1" x="8"/>
        <item h="1" x="6"/>
        <item x="5"/>
        <item h="1" x="3"/>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1"/>
  </rowFields>
  <rowItems count="6">
    <i>
      <x v="2"/>
    </i>
    <i>
      <x v="7"/>
    </i>
    <i>
      <x v="3"/>
    </i>
    <i>
      <x v="9"/>
    </i>
    <i>
      <x v="1"/>
    </i>
    <i t="grand">
      <x/>
    </i>
  </rowItems>
  <colItems count="1">
    <i/>
  </colItems>
  <dataFields count="1">
    <dataField name="Count of Items_Supplied" fld="2" subtotal="count" baseField="0" baseItem="0"/>
  </dataFields>
  <chartFormats count="7">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7"/>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 chart="5" format="7">
      <pivotArea type="data" outline="0" fieldPosition="0">
        <references count="2">
          <reference field="4294967294" count="1" selected="0">
            <x v="0"/>
          </reference>
          <reference field="1" count="1" selected="0">
            <x v="9"/>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C8CB33-EA15-4BAC-98E4-21A621682D0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38" firstHeaderRow="1" firstDataRow="1" firstDataCol="1"/>
  <pivotFields count="9">
    <pivotField showAll="0"/>
    <pivotField showAll="0"/>
    <pivotField showAll="0"/>
    <pivotField showAll="0"/>
    <pivotField showAll="0"/>
    <pivotField showAll="0"/>
    <pivotField showAll="0"/>
    <pivotField dataField="1"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s>
  <rowFields count="1">
    <field x="8"/>
  </rowFields>
  <rowItems count="6">
    <i>
      <x v="2"/>
    </i>
    <i>
      <x v="3"/>
    </i>
    <i>
      <x v="4"/>
    </i>
    <i>
      <x v="1"/>
    </i>
    <i>
      <x/>
    </i>
    <i t="grand">
      <x/>
    </i>
  </rowItems>
  <colItems count="1">
    <i/>
  </colItems>
  <dataFields count="1">
    <dataField name="Sum of Total_Price" fld="7" baseField="8" baseItem="0"/>
  </dataFields>
  <formats count="1">
    <format dxfId="13">
      <pivotArea collapsedLevelsAreSubtotals="1" fieldPosition="0">
        <references count="1">
          <reference field="8" count="0"/>
        </references>
      </pivotArea>
    </format>
  </formats>
  <chartFormats count="5">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454796-E3F7-461E-B800-9C3495C2C47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5:D31"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sortType="descending">
      <items count="7">
        <item m="1" x="5"/>
        <item x="3"/>
        <item x="2"/>
        <item x="1"/>
        <item x="0"/>
        <item x="4"/>
        <item t="default"/>
      </items>
      <autoSortScope>
        <pivotArea dataOnly="0" outline="0" fieldPosition="0">
          <references count="1">
            <reference field="4294967294" count="1" selected="0">
              <x v="0"/>
            </reference>
          </references>
        </pivotArea>
      </autoSortScope>
    </pivotField>
  </pivotFields>
  <rowFields count="1">
    <field x="9"/>
  </rowFields>
  <rowItems count="6">
    <i>
      <x v="3"/>
    </i>
    <i>
      <x v="2"/>
    </i>
    <i>
      <x v="4"/>
    </i>
    <i>
      <x v="1"/>
    </i>
    <i>
      <x v="5"/>
    </i>
    <i t="grand">
      <x/>
    </i>
  </rowItems>
  <colItems count="1">
    <i/>
  </colItems>
  <dataFields count="1">
    <dataField name="Sum of Total_Value" fld="8"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E55A42-AC17-49A7-B945-05BB664F0D8B}" sourceName="Month">
  <pivotTables>
    <pivotTable tabId="8" name="PivotTable9"/>
    <pivotTable tabId="8" name="PivotTable10"/>
    <pivotTable tabId="8" name="PivotTable6"/>
  </pivotTables>
  <data>
    <tabular pivotCacheId="28165894">
      <items count="6">
        <i x="0" s="1"/>
        <i x="1" s="1"/>
        <i x="2"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57B80A6-73AC-4B6F-B56C-403C79E47140}" sourceName="Month">
  <pivotTables>
    <pivotTable tabId="8" name="PivotTable7"/>
  </pivotTables>
  <data>
    <tabular pivotCacheId="1835052975">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D0DF037-02DB-4C18-835B-AC6A0619E32D}" cache="Slicer_Month" caption="Month" columnCount="4" showCaption="0" style="SlicerStyleOther1" rowHeight="247650"/>
  <slicer name="Month 1" xr10:uid="{03B5B8CA-E93B-48D0-A212-3BE04A80D6FC}" cache="Slicer_Month1" caption="Month" columnCount="3" showCaption="0"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B5A66B-2B50-41EC-9C4D-E4987A70249A}" name="Inventory" displayName="Inventory" ref="D6:P49" totalsRowShown="0" headerRowDxfId="50" dataDxfId="49">
  <autoFilter ref="D6:P49" xr:uid="{14B5A66B-2B50-41EC-9C4D-E4987A70249A}">
    <filterColumn colId="11">
      <filters>
        <filter val="Available_Stock"/>
        <filter val="Low Stock"/>
        <filter val="Out of Stock"/>
      </filters>
    </filterColumn>
  </autoFilter>
  <tableColumns count="13">
    <tableColumn id="1" xr3:uid="{CB00A359-854B-4214-990E-F59840F0ECB6}" name="Invent ID" dataDxfId="48"/>
    <tableColumn id="2" xr3:uid="{1C88B988-A415-4702-8E46-0FE306AE08E0}" name="Product_Name" dataDxfId="47"/>
    <tableColumn id="3" xr3:uid="{73E2C789-C1D8-4623-81E4-75EB6A0EDBCD}" name="Purchase" dataDxfId="46">
      <calculatedColumnFormula>IF(ISBLANK(Inventory[[#This Row],[Invent ID]]),"",SUMIF(Table3[ProductID],Inventory[[#This Row],[Invent ID]],Table3[Purchase]))</calculatedColumnFormula>
    </tableColumn>
    <tableColumn id="4" xr3:uid="{84A55519-B12F-44AF-98B2-86471EBAB2B1}" name="Sales" dataDxfId="45">
      <calculatedColumnFormula>IF(ISBLANK(Inventory[[#This Row],[Invent ID]]),"",SUMIF(Table4[Sales ID],Inventory[[#This Row],[Invent ID]],Table4[Unit_sold]))</calculatedColumnFormula>
    </tableColumn>
    <tableColumn id="5" xr3:uid="{87144FEB-3A20-4D26-8E4C-AE88C10561B7}" name="Available_Stock" dataDxfId="44">
      <calculatedColumnFormula>IF(ISBLANK(Inventory[[#This Row],[Invent ID]]),"",Inventory[[#This Row],[Purchase]]-Inventory[[#This Row],[Sales]])</calculatedColumnFormula>
    </tableColumn>
    <tableColumn id="6" xr3:uid="{034DBF6C-8656-4539-B166-7EC441266D69}" name="Reorder_Level" dataDxfId="43"/>
    <tableColumn id="7" xr3:uid="{A2809686-F6B7-4EAC-A62E-EF77408B03C4}" name="Unit_Cost" dataDxfId="42">
      <calculatedColumnFormula>IF(ISBLANK(Inventory[[#This Row],[Invent ID]]),"",AVERAGEIF(Table3[ProductID],Inventory[[#This Row],[Invent ID]],Table3[Unit_cost]))</calculatedColumnFormula>
    </tableColumn>
    <tableColumn id="8" xr3:uid="{B50EFDC5-0E97-4CCA-BE2D-340FB9DD78F5}" name="Unit_Price" dataDxfId="41"/>
    <tableColumn id="9" xr3:uid="{930F843F-6409-433F-A7E0-8D5281BDF34D}" name="Profit" dataDxfId="40">
      <calculatedColumnFormula>IFERROR(Inventory[[#This Row],[Unit_Price]]-Inventory[[#This Row],[Unit_Cost]],"")</calculatedColumnFormula>
    </tableColumn>
    <tableColumn id="10" xr3:uid="{EDA76065-F8EC-4BC7-B894-5604A8875947}" name="Total_Profit" dataDxfId="39">
      <calculatedColumnFormula>IFERROR(Inventory[[#This Row],[Available_Stock]]*Inventory[[#This Row],[Profit]],"")</calculatedColumnFormula>
    </tableColumn>
    <tableColumn id="11" xr3:uid="{D9B538CF-3E7E-4B25-86F9-72ECF2B676BC}" name="Total_Amount" dataDxfId="38">
      <calculatedColumnFormula>IFERROR(Inventory[[#This Row],[Unit_Price]]*Inventory[[#This Row],[Available_Stock]],"")</calculatedColumnFormula>
    </tableColumn>
    <tableColumn id="12" xr3:uid="{5E953131-377B-43C5-9431-D278F8D8A5A3}" name="Status" dataDxfId="37">
      <calculatedColumnFormula array="1">IF(ISBLANK(Inventory[[#This Row],[Invent ID]]),"",_xlfn.IFS(Inventory[[#This Row],[Available_Stock]]=0,"Out of Stock",Inventory[[#This Row],[Available_Stock]]&lt;Inventory[[#This Row],[Reorder_Level]],"Low Stock",Inventory[[#This Row],[Available_Stock]]&gt;=Inventory[[#This Row],[Reorder_Level]],"Available_Stock"))</calculatedColumnFormula>
    </tableColumn>
    <tableColumn id="13" xr3:uid="{8E8D387F-FAC0-47B0-902B-23B1D73172DB}" name="Notisfication" dataDxfId="36">
      <calculatedColumnFormula>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A49D4F-05C6-481E-9FB1-8161B7BA5D81}" name="Table3" displayName="Table3" ref="D6:M30" totalsRowShown="0" headerRowDxfId="35" dataDxfId="34">
  <autoFilter ref="D6:M30" xr:uid="{D0A49D4F-05C6-481E-9FB1-8161B7BA5D81}"/>
  <tableColumns count="10">
    <tableColumn id="1" xr3:uid="{691216EF-228B-456B-95A8-48BE9D736538}" name="ProductID" dataDxfId="33"/>
    <tableColumn id="2" xr3:uid="{860D5E57-07C6-44B8-BDA7-44DE405EC16B}" name="Product_Description" dataDxfId="32">
      <calculatedColumnFormula>IF(ISBLANK(Table3[[#This Row],[ProductID]]),"",_xlfn.XLOOKUP(Table3[[#This Row],[ProductID]],Inventory[Invent ID],Inventory[Product_Name]))</calculatedColumnFormula>
    </tableColumn>
    <tableColumn id="3" xr3:uid="{C396E9A3-AB75-4205-B83E-538672940411}" name="SuppliersID" dataDxfId="31"/>
    <tableColumn id="4" xr3:uid="{85FF1F8D-3C75-4ECE-B6FD-26848DD87A43}" name="Suppliers_Name" dataDxfId="30">
      <calculatedColumnFormula>IF(ISBLANK(Table3[[#This Row],[SuppliersID]]),"",_xlfn.XLOOKUP(Table3[[#This Row],[SuppliersID]],suppliers[ProductID],suppliers[Client_Name]))</calculatedColumnFormula>
    </tableColumn>
    <tableColumn id="5" xr3:uid="{516620CF-28D3-422E-A05F-FF58EE77284D}" name="Date" dataDxfId="29"/>
    <tableColumn id="6" xr3:uid="{33C6ACD8-8B74-4BFA-B881-76F917126346}" name="Purchase" dataDxfId="28"/>
    <tableColumn id="7" xr3:uid="{A143EABF-E75E-4ED3-B2DB-4F184A2400E2}" name="Available_Stock" dataDxfId="27">
      <calculatedColumnFormula>IF(ISBLANK(Table3[[#This Row],[ProductID]]),"",_xlfn.XLOOKUP(Table3[[#This Row],[ProductID]],Inventory[Invent ID],Inventory[Available_Stock]))</calculatedColumnFormula>
    </tableColumn>
    <tableColumn id="8" xr3:uid="{BBC73458-99C0-41BC-BBE3-BCD886FF71BB}" name="Unit_cost" dataDxfId="26"/>
    <tableColumn id="9" xr3:uid="{E9F4038C-B1A9-4926-936E-64973AD403C2}" name="Total_Value" dataDxfId="25">
      <calculatedColumnFormula>IFERROR(Table3[[#This Row],[Purchase]]*Table3[[#This Row],[Unit_cost]],"")</calculatedColumnFormula>
    </tableColumn>
    <tableColumn id="10" xr3:uid="{B568B258-8E88-45C0-8128-A59FFF8578CF}" name="Month" dataDxfId="24">
      <calculatedColumnFormula>IF(ISBLANK(Table3[[#This Row],[ProductID]]),"",TEXT(Table3[[#This Row],[Date]],"mmm"))</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383A71-47F3-44A6-BE61-DE5D97BB789E}" name="Table4" displayName="Table4" ref="D6:L37" totalsRowShown="0" headerRowDxfId="61" dataDxfId="60">
  <autoFilter ref="D6:L37" xr:uid="{05383A71-47F3-44A6-BE61-DE5D97BB789E}"/>
  <tableColumns count="9">
    <tableColumn id="1" xr3:uid="{89E1F59B-15F4-473E-B751-8E3835DA6590}" name="Sales ID" dataDxfId="59"/>
    <tableColumn id="2" xr3:uid="{6B21F373-DB21-42A1-8FAA-E1D36A69AAA0}" name="product_Name" dataDxfId="58">
      <calculatedColumnFormula>IF(ISBLANK(Table4[[#This Row],[Sales ID]]),"",_xlfn.XLOOKUP(Table4[[#This Row],[Sales ID]],Inventory[Invent ID],Inventory[Product_Name]))</calculatedColumnFormula>
    </tableColumn>
    <tableColumn id="3" xr3:uid="{FD952209-0CB9-4AFF-961C-5B4511EE91F0}" name="Client_Name" dataDxfId="57"/>
    <tableColumn id="4" xr3:uid="{403B2934-9686-4B08-8D24-DF6A57C3E6B2}" name="Date" dataDxfId="56"/>
    <tableColumn id="5" xr3:uid="{62490EDA-7397-48C9-A047-84285272366D}" name="Unit_sold" dataDxfId="55"/>
    <tableColumn id="6" xr3:uid="{DC3747EC-D636-43BE-AA7D-972E4DA7D9AF}" name="Avaliable_stock" dataDxfId="54">
      <calculatedColumnFormula>IF(ISBLANK(Table4[[#This Row],[Sales ID]]),"",_xlfn.XLOOKUP(Table4[[#This Row],[Sales ID]],Inventory[Invent ID],Inventory[Available_Stock]))</calculatedColumnFormula>
    </tableColumn>
    <tableColumn id="7" xr3:uid="{3DF65B22-8CBA-496B-AF97-865DC8384293}" name="Unit_Price" dataDxfId="53"/>
    <tableColumn id="8" xr3:uid="{A39CC52E-3A40-4FE1-A909-B9A27226DC9C}" name="Total_Price" dataDxfId="52">
      <calculatedColumnFormula>IFERROR(Table4[[#This Row],[Unit_Price]]*Table4[[#This Row],[Unit_sold]],"")</calculatedColumnFormula>
    </tableColumn>
    <tableColumn id="9" xr3:uid="{0EC62C61-CD81-4B7B-99AF-7C6DAE96F4EF}" name="Month" dataDxfId="51">
      <calculatedColumnFormula>IF(ISBLANK(Table4[[#This Row],[Sales ID]]),"",TEXT(Table4[[#This Row],[Date]],"mmm"))</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142FC-5812-4871-9B56-86CB8663429F}" name="suppliers" displayName="suppliers" ref="D7:K30" totalsRowShown="0" headerRowDxfId="23" dataDxfId="22">
  <autoFilter ref="D7:K30" xr:uid="{0CF142FC-5812-4871-9B56-86CB8663429F}"/>
  <tableColumns count="8">
    <tableColumn id="1" xr3:uid="{01984C10-B9AF-4DE8-A000-8EAB016BFFF9}" name="ProductID" dataDxfId="21"/>
    <tableColumn id="2" xr3:uid="{731E93AF-E80D-4E90-849A-6AD471ADDA6A}" name="Client_Name" dataDxfId="20"/>
    <tableColumn id="4" xr3:uid="{D72EA249-9D3B-47F1-B433-96F8FAAAF462}" name="Items_Supplied" dataDxfId="19"/>
    <tableColumn id="5" xr3:uid="{8C3DEA76-BF81-4BA6-998D-5F4D805C24C6}" name="Phone" dataDxfId="18"/>
    <tableColumn id="6" xr3:uid="{90A43DC3-FE94-444D-AFC2-70F66DEE263D}" name="Email" dataDxfId="17"/>
    <tableColumn id="7" xr3:uid="{DCE22F35-0A8E-45A6-B2BC-F082F38F5F2A}" name="Address" dataDxfId="16"/>
    <tableColumn id="8" xr3:uid="{FD85528C-165A-4325-AD48-97655B951842}" name="Reorder" dataDxfId="15"/>
    <tableColumn id="9" xr3:uid="{2E3C6B86-23DC-4804-A495-9937111D3A75}" name="Lead_Date" dataDxfId="1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7AAC3-3CB8-403E-BC37-A3A5CB638039}">
  <dimension ref="A1:R89"/>
  <sheetViews>
    <sheetView showGridLines="0" workbookViewId="0"/>
  </sheetViews>
  <sheetFormatPr defaultRowHeight="14.4" x14ac:dyDescent="0.3"/>
  <cols>
    <col min="1" max="1" width="4.6640625" style="1" customWidth="1"/>
    <col min="2" max="2" width="26" style="2" customWidth="1"/>
    <col min="3" max="3" width="3.88671875" style="1" customWidth="1"/>
    <col min="4" max="4" width="10.88671875" style="1" customWidth="1"/>
    <col min="5" max="5" width="14.88671875" style="1" customWidth="1"/>
    <col min="6" max="6" width="10.5546875" style="1" customWidth="1"/>
    <col min="7" max="7" width="8.88671875" style="1"/>
    <col min="8" max="8" width="15.33203125" style="1" customWidth="1"/>
    <col min="9" max="9" width="14.21875" style="1" customWidth="1"/>
    <col min="10" max="10" width="10.5546875" style="1" customWidth="1"/>
    <col min="11" max="11" width="13.44140625" style="1" customWidth="1"/>
    <col min="12" max="12" width="15.33203125" style="24" customWidth="1"/>
    <col min="13" max="13" width="0.5546875" style="1" customWidth="1"/>
    <col min="14" max="14" width="65.5546875" style="1" customWidth="1"/>
    <col min="15" max="15" width="10.77734375" style="1" customWidth="1"/>
    <col min="16" max="16" width="3.21875" style="1" customWidth="1"/>
    <col min="17" max="16384" width="8.88671875" style="1"/>
  </cols>
  <sheetData>
    <row r="1" spans="2:18" ht="22.2" customHeight="1" x14ac:dyDescent="0.3">
      <c r="B1" s="1"/>
      <c r="L1" s="1"/>
    </row>
    <row r="5" spans="2:18" ht="16.2" thickBot="1" x14ac:dyDescent="0.35">
      <c r="L5" s="25" t="s">
        <v>189</v>
      </c>
      <c r="M5" s="16"/>
      <c r="N5" s="26" t="s">
        <v>190</v>
      </c>
      <c r="O5" s="16"/>
      <c r="P5" s="16"/>
      <c r="Q5" s="16"/>
      <c r="R5" s="16"/>
    </row>
    <row r="6" spans="2:18" x14ac:dyDescent="0.3">
      <c r="L6" s="21" t="str" cm="1">
        <f t="array" ref="L6:L24">_xlfn._xlws.FILTER(Inventory[Status],Inventory[Status]&lt;&gt;"")</f>
        <v>Available_Stock</v>
      </c>
      <c r="M6" s="17"/>
      <c r="N6" s="27" t="str" cm="1">
        <f t="array" ref="N6:N7">_xlfn._xlws.FILTER(Inventory[Notisfication],Inventory[Notisfication]&lt;&gt;"")</f>
        <v>📞 Fresh Wine is out of stock. PT DailyDairy: +1-315-726-8986</v>
      </c>
      <c r="O6" s="3"/>
      <c r="P6" s="3"/>
    </row>
    <row r="7" spans="2:18" x14ac:dyDescent="0.3">
      <c r="L7" s="22" t="str">
        <v>Low Stock</v>
      </c>
      <c r="M7" s="18"/>
      <c r="N7" s="28" t="str">
        <v>📞 Beauty Care is out of stock. PT Agro Raya: +1-319-543-2253</v>
      </c>
    </row>
    <row r="8" spans="2:18" x14ac:dyDescent="0.3">
      <c r="L8" s="22" t="str">
        <v>Available_Stock</v>
      </c>
      <c r="M8" s="18"/>
      <c r="N8" s="28"/>
      <c r="O8" s="3"/>
      <c r="P8" s="3"/>
    </row>
    <row r="9" spans="2:18" ht="15.6" x14ac:dyDescent="0.3">
      <c r="L9" s="22" t="str">
        <v>Available_Stock</v>
      </c>
      <c r="M9" s="19"/>
      <c r="N9" s="29"/>
      <c r="O9" s="16"/>
      <c r="P9" s="16"/>
    </row>
    <row r="10" spans="2:18" x14ac:dyDescent="0.3">
      <c r="L10" s="22" t="str">
        <v>Available_Stock</v>
      </c>
      <c r="M10" s="18"/>
      <c r="N10" s="30"/>
    </row>
    <row r="11" spans="2:18" x14ac:dyDescent="0.3">
      <c r="L11" s="22" t="str">
        <v>Available_Stock</v>
      </c>
      <c r="M11" s="18"/>
      <c r="N11" s="30"/>
    </row>
    <row r="12" spans="2:18" x14ac:dyDescent="0.3">
      <c r="L12" s="22" t="str">
        <v>Available_Stock</v>
      </c>
      <c r="M12" s="18"/>
      <c r="N12" s="30"/>
    </row>
    <row r="13" spans="2:18" x14ac:dyDescent="0.3">
      <c r="L13" s="22" t="str">
        <v>Available_Stock</v>
      </c>
      <c r="M13" s="18"/>
      <c r="N13" s="30"/>
    </row>
    <row r="14" spans="2:18" x14ac:dyDescent="0.3">
      <c r="L14" s="22" t="str">
        <v>Out of Stock</v>
      </c>
      <c r="M14" s="18"/>
      <c r="N14" s="30"/>
    </row>
    <row r="15" spans="2:18" x14ac:dyDescent="0.3">
      <c r="L15" s="22" t="str">
        <v>Available_Stock</v>
      </c>
      <c r="M15" s="18"/>
      <c r="N15" s="30"/>
    </row>
    <row r="16" spans="2:18" x14ac:dyDescent="0.3">
      <c r="L16" s="22" t="str">
        <v>Available_Stock</v>
      </c>
      <c r="M16" s="18"/>
      <c r="N16" s="30"/>
    </row>
    <row r="17" spans="1:15" x14ac:dyDescent="0.3">
      <c r="L17" s="22" t="str">
        <v>Out of Stock</v>
      </c>
      <c r="M17" s="18"/>
      <c r="N17" s="30"/>
    </row>
    <row r="18" spans="1:15" x14ac:dyDescent="0.3">
      <c r="L18" s="22" t="str">
        <v>Low Stock</v>
      </c>
      <c r="M18" s="18"/>
      <c r="N18" s="30"/>
    </row>
    <row r="19" spans="1:15" x14ac:dyDescent="0.3">
      <c r="L19" s="22" t="str">
        <v>Available_Stock</v>
      </c>
      <c r="M19" s="18"/>
      <c r="N19" s="30"/>
    </row>
    <row r="20" spans="1:15" x14ac:dyDescent="0.3">
      <c r="L20" s="22" t="str">
        <v>Low Stock</v>
      </c>
      <c r="M20" s="18"/>
      <c r="N20" s="30"/>
    </row>
    <row r="21" spans="1:15" x14ac:dyDescent="0.3">
      <c r="L21" s="22" t="str">
        <v>Available_Stock</v>
      </c>
      <c r="M21" s="18"/>
      <c r="N21" s="30"/>
    </row>
    <row r="22" spans="1:15" x14ac:dyDescent="0.3">
      <c r="L22" s="22" t="str">
        <v>Available_Stock</v>
      </c>
      <c r="M22" s="18"/>
      <c r="N22" s="30"/>
    </row>
    <row r="23" spans="1:15" x14ac:dyDescent="0.3">
      <c r="L23" s="22" t="str">
        <v>Available_Stock</v>
      </c>
      <c r="M23" s="18"/>
      <c r="N23" s="30"/>
    </row>
    <row r="24" spans="1:15" x14ac:dyDescent="0.3">
      <c r="L24" s="22" t="str">
        <v>Available_Stock</v>
      </c>
      <c r="M24" s="18"/>
      <c r="N24" s="30"/>
    </row>
    <row r="25" spans="1:15" x14ac:dyDescent="0.3">
      <c r="L25" s="22"/>
      <c r="M25" s="18"/>
      <c r="N25" s="30"/>
    </row>
    <row r="26" spans="1:15" x14ac:dyDescent="0.3">
      <c r="L26" s="22"/>
      <c r="M26" s="18"/>
      <c r="N26" s="30"/>
    </row>
    <row r="27" spans="1:15" ht="20.399999999999999" customHeight="1" thickBot="1" x14ac:dyDescent="0.35">
      <c r="L27" s="23"/>
      <c r="M27" s="20"/>
      <c r="N27" s="31"/>
    </row>
    <row r="28" spans="1:15" ht="22.8" customHeight="1" x14ac:dyDescent="0.3">
      <c r="B28" s="1"/>
      <c r="L28" s="1"/>
    </row>
    <row r="29" spans="1:15" ht="13.8" customHeight="1" x14ac:dyDescent="0.3">
      <c r="A29" s="5"/>
      <c r="B29" s="5"/>
      <c r="L29" s="1"/>
      <c r="M29" s="3"/>
      <c r="N29" s="3"/>
      <c r="O29" s="3"/>
    </row>
    <row r="30" spans="1:15" x14ac:dyDescent="0.3">
      <c r="B30" s="1"/>
      <c r="L30" s="1"/>
    </row>
    <row r="31" spans="1:15" x14ac:dyDescent="0.3">
      <c r="B31" s="1"/>
      <c r="L31" s="1"/>
    </row>
    <row r="32" spans="1:15" x14ac:dyDescent="0.3">
      <c r="B32" s="1"/>
      <c r="L32" s="1"/>
    </row>
    <row r="33" s="1" customFormat="1" x14ac:dyDescent="0.3"/>
    <row r="34" s="1" customFormat="1" x14ac:dyDescent="0.3"/>
    <row r="35" s="1" customFormat="1" x14ac:dyDescent="0.3"/>
    <row r="36" s="1" customFormat="1" x14ac:dyDescent="0.3"/>
    <row r="37" s="1" customFormat="1" x14ac:dyDescent="0.3"/>
    <row r="38" s="1" customFormat="1" x14ac:dyDescent="0.3"/>
    <row r="39" s="1" customFormat="1" x14ac:dyDescent="0.3"/>
    <row r="40" s="1" customFormat="1" x14ac:dyDescent="0.3"/>
    <row r="41" s="1" customFormat="1" x14ac:dyDescent="0.3"/>
    <row r="42" s="1" customFormat="1" x14ac:dyDescent="0.3"/>
    <row r="43" s="1" customFormat="1" x14ac:dyDescent="0.3"/>
    <row r="44" s="1" customFormat="1" x14ac:dyDescent="0.3"/>
    <row r="45" s="1" customFormat="1" x14ac:dyDescent="0.3"/>
    <row r="46" s="1" customFormat="1" x14ac:dyDescent="0.3"/>
    <row r="47" s="1" customFormat="1" x14ac:dyDescent="0.3"/>
    <row r="48" s="1" customFormat="1" x14ac:dyDescent="0.3"/>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1" customFormat="1" x14ac:dyDescent="0.3"/>
    <row r="66" s="1" customFormat="1" x14ac:dyDescent="0.3"/>
    <row r="67" s="1" customFormat="1" x14ac:dyDescent="0.3"/>
    <row r="68" s="1" customFormat="1" x14ac:dyDescent="0.3"/>
    <row r="69" s="1" customFormat="1" x14ac:dyDescent="0.3"/>
    <row r="70" s="1" customFormat="1" x14ac:dyDescent="0.3"/>
    <row r="71" s="1" customFormat="1" x14ac:dyDescent="0.3"/>
    <row r="72" s="1" customFormat="1" x14ac:dyDescent="0.3"/>
    <row r="73" s="1" customFormat="1" x14ac:dyDescent="0.3"/>
    <row r="74" s="1" customFormat="1" x14ac:dyDescent="0.3"/>
    <row r="75" s="1" customFormat="1" x14ac:dyDescent="0.3"/>
    <row r="76" s="1" customFormat="1" x14ac:dyDescent="0.3"/>
    <row r="77" s="1" customFormat="1" x14ac:dyDescent="0.3"/>
    <row r="78" s="1" customFormat="1" x14ac:dyDescent="0.3"/>
    <row r="79" s="1" customFormat="1" x14ac:dyDescent="0.3"/>
    <row r="80" s="1" customFormat="1" x14ac:dyDescent="0.3"/>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sheetData>
  <conditionalFormatting sqref="L6:L27">
    <cfRule type="cellIs" dxfId="8" priority="1" operator="equal">
      <formula>"Low Stock"</formula>
    </cfRule>
    <cfRule type="cellIs" dxfId="7" priority="2" operator="equal">
      <formula>"available_Stock"</formula>
    </cfRule>
    <cfRule type="cellIs" dxfId="6" priority="3" operator="equal">
      <formula>"Out of Stock"</formula>
    </cfRule>
  </conditionalFormatting>
  <conditionalFormatting sqref="N10:N19 N21:N28">
    <cfRule type="cellIs" dxfId="5" priority="4" operator="equal">
      <formula>"Low Stock"</formula>
    </cfRule>
    <cfRule type="cellIs" dxfId="4" priority="5" operator="equal">
      <formula>"Out of Stock"</formula>
    </cfRule>
    <cfRule type="cellIs" dxfId="3" priority="6" operator="equal">
      <formula>"Available_Stock"</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D1F5B-D365-4F45-9719-4B6177C7D395}">
  <dimension ref="B1:P49"/>
  <sheetViews>
    <sheetView showGridLines="0" workbookViewId="0"/>
  </sheetViews>
  <sheetFormatPr defaultRowHeight="14.4" x14ac:dyDescent="0.3"/>
  <cols>
    <col min="1" max="1" width="4.6640625" style="1" customWidth="1"/>
    <col min="2" max="2" width="26" style="2" customWidth="1"/>
    <col min="3" max="3" width="3.77734375" style="1" customWidth="1"/>
    <col min="4" max="4" width="12.6640625" style="3" bestFit="1" customWidth="1"/>
    <col min="5" max="5" width="17.88671875" style="3" bestFit="1" customWidth="1"/>
    <col min="6" max="6" width="13.109375" style="3" bestFit="1" customWidth="1"/>
    <col min="7" max="7" width="10" style="3" bestFit="1" customWidth="1"/>
    <col min="8" max="8" width="18.88671875" style="3" bestFit="1" customWidth="1"/>
    <col min="9" max="9" width="17.109375" style="3" bestFit="1" customWidth="1"/>
    <col min="10" max="10" width="14.44140625" style="3" bestFit="1" customWidth="1"/>
    <col min="11" max="11" width="15" style="3" bestFit="1" customWidth="1"/>
    <col min="12" max="12" width="11" style="3" bestFit="1" customWidth="1"/>
    <col min="13" max="13" width="15.88671875" style="3" bestFit="1" customWidth="1"/>
    <col min="14" max="14" width="17.88671875" style="3" bestFit="1" customWidth="1"/>
    <col min="15" max="15" width="13.5546875" style="3" bestFit="1" customWidth="1"/>
    <col min="16" max="16" width="61.77734375" style="6" bestFit="1" customWidth="1"/>
    <col min="17" max="16384" width="8.88671875" style="1"/>
  </cols>
  <sheetData>
    <row r="1" spans="2:16" ht="15" customHeight="1" x14ac:dyDescent="0.3">
      <c r="B1" s="1"/>
    </row>
    <row r="2" spans="2:16" ht="19.8" customHeight="1" x14ac:dyDescent="0.3"/>
    <row r="6" spans="2:16" ht="15" customHeight="1" x14ac:dyDescent="0.3">
      <c r="D6" s="3" t="s">
        <v>73</v>
      </c>
      <c r="E6" s="3" t="s">
        <v>1</v>
      </c>
      <c r="F6" s="3" t="s">
        <v>2</v>
      </c>
      <c r="G6" s="3" t="s">
        <v>3</v>
      </c>
      <c r="H6" s="3" t="s">
        <v>4</v>
      </c>
      <c r="I6" s="3" t="s">
        <v>5</v>
      </c>
      <c r="J6" s="7" t="s">
        <v>6</v>
      </c>
      <c r="K6" s="7" t="s">
        <v>7</v>
      </c>
      <c r="L6" s="7" t="s">
        <v>8</v>
      </c>
      <c r="M6" s="7" t="s">
        <v>74</v>
      </c>
      <c r="N6" s="7" t="s">
        <v>75</v>
      </c>
      <c r="O6" s="3" t="s">
        <v>10</v>
      </c>
      <c r="P6" s="6" t="s">
        <v>172</v>
      </c>
    </row>
    <row r="7" spans="2:16" x14ac:dyDescent="0.3">
      <c r="D7" s="3" t="s">
        <v>11</v>
      </c>
      <c r="E7" s="3" t="s">
        <v>36</v>
      </c>
      <c r="F7" s="8">
        <f>IF(ISBLANK(Inventory[[#This Row],[Invent ID]]),"",SUMIF(Table3[ProductID],Inventory[[#This Row],[Invent ID]],Table3[Purchase]))</f>
        <v>154</v>
      </c>
      <c r="G7" s="8">
        <f>IF(ISBLANK(Inventory[[#This Row],[Invent ID]]),"",SUMIF(Table4[Sales ID],Inventory[[#This Row],[Invent ID]],Table4[Unit_sold]))</f>
        <v>99</v>
      </c>
      <c r="H7" s="8">
        <f>IF(ISBLANK(Inventory[[#This Row],[Invent ID]]),"",Inventory[[#This Row],[Purchase]]-Inventory[[#This Row],[Sales]])</f>
        <v>55</v>
      </c>
      <c r="I7" s="3">
        <v>10</v>
      </c>
      <c r="J7" s="9">
        <f>IF(ISBLANK(Inventory[[#This Row],[Invent ID]]),"",AVERAGEIF(Table3[ProductID],Inventory[[#This Row],[Invent ID]],Table3[Unit_cost]))</f>
        <v>9.07</v>
      </c>
      <c r="K7" s="9">
        <v>11.07</v>
      </c>
      <c r="L7" s="9">
        <f>IFERROR(Inventory[[#This Row],[Unit_Price]]-Inventory[[#This Row],[Unit_Cost]],"")</f>
        <v>2</v>
      </c>
      <c r="M7" s="9">
        <f>IFERROR(Inventory[[#This Row],[Available_Stock]]*Inventory[[#This Row],[Profit]],"")</f>
        <v>110</v>
      </c>
      <c r="N7" s="9">
        <f>IFERROR(Inventory[[#This Row],[Unit_Price]]*Inventory[[#This Row],[Available_Stock]],"")</f>
        <v>608.85</v>
      </c>
      <c r="O7" s="3" t="str" cm="1">
        <f t="array" ref="O7">IF(ISBLANK(Inventory[[#This Row],[Invent ID]]),"",_xlfn.IFS(Inventory[[#This Row],[Available_Stock]]=0,"Out of Stock",Inventory[[#This Row],[Available_Stock]]&lt;Inventory[[#This Row],[Reorder_Level]],"Low Stock",Inventory[[#This Row],[Available_Stock]]&gt;=Inventory[[#This Row],[Reorder_Level]],"Available_Stock"))</f>
        <v>Available_Stock</v>
      </c>
      <c r="P7"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8" spans="2:16" x14ac:dyDescent="0.3">
      <c r="D8" s="3" t="s">
        <v>12</v>
      </c>
      <c r="E8" s="3" t="s">
        <v>13</v>
      </c>
      <c r="F8" s="8">
        <f>IF(ISBLANK(Inventory[[#This Row],[Invent ID]]),"",SUMIF(Table3[ProductID],Inventory[[#This Row],[Invent ID]],Table3[Purchase]))</f>
        <v>178</v>
      </c>
      <c r="G8" s="8">
        <f>IF(ISBLANK(Inventory[[#This Row],[Invent ID]]),"",SUMIF(Table4[Sales ID],Inventory[[#This Row],[Invent ID]],Table4[Unit_sold]))</f>
        <v>156</v>
      </c>
      <c r="H8" s="8">
        <f>IF(ISBLANK(Inventory[[#This Row],[Invent ID]]),"",Inventory[[#This Row],[Purchase]]-Inventory[[#This Row],[Sales]])</f>
        <v>22</v>
      </c>
      <c r="I8" s="3">
        <v>30</v>
      </c>
      <c r="J8" s="9">
        <f>IF(ISBLANK(Inventory[[#This Row],[Invent ID]]),"",AVERAGEIF(Table3[ProductID],Inventory[[#This Row],[Invent ID]],Table3[Unit_cost]))</f>
        <v>10.02</v>
      </c>
      <c r="K8" s="9">
        <v>12.99</v>
      </c>
      <c r="L8" s="9">
        <f>IFERROR(Inventory[[#This Row],[Unit_Price]]-Inventory[[#This Row],[Unit_Cost]],"")</f>
        <v>2.9700000000000006</v>
      </c>
      <c r="M8" s="9">
        <f>IFERROR(Inventory[[#This Row],[Available_Stock]]*Inventory[[#This Row],[Profit]],"")</f>
        <v>65.340000000000018</v>
      </c>
      <c r="N8" s="9">
        <f>IFERROR(Inventory[[#This Row],[Unit_Price]]*Inventory[[#This Row],[Available_Stock]],"")</f>
        <v>285.78000000000003</v>
      </c>
      <c r="O8" s="3" t="str" cm="1">
        <f t="array" ref="O8">IF(ISBLANK(Inventory[[#This Row],[Invent ID]]),"",_xlfn.IFS(Inventory[[#This Row],[Available_Stock]]=0,"Out of Stock",Inventory[[#This Row],[Available_Stock]]&lt;Inventory[[#This Row],[Reorder_Level]],"Low Stock",Inventory[[#This Row],[Available_Stock]]&gt;=Inventory[[#This Row],[Reorder_Level]],"Available_Stock"))</f>
        <v>Low Stock</v>
      </c>
      <c r="P8"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9" spans="2:16" x14ac:dyDescent="0.3">
      <c r="D9" s="3" t="s">
        <v>14</v>
      </c>
      <c r="E9" s="3" t="s">
        <v>37</v>
      </c>
      <c r="F9" s="8">
        <f>IF(ISBLANK(Inventory[[#This Row],[Invent ID]]),"",SUMIF(Table3[ProductID],Inventory[[#This Row],[Invent ID]],Table3[Purchase]))</f>
        <v>91</v>
      </c>
      <c r="G9" s="8">
        <f>IF(ISBLANK(Inventory[[#This Row],[Invent ID]]),"",SUMIF(Table4[Sales ID],Inventory[[#This Row],[Invent ID]],Table4[Unit_sold]))</f>
        <v>69</v>
      </c>
      <c r="H9" s="8">
        <f>IF(ISBLANK(Inventory[[#This Row],[Invent ID]]),"",Inventory[[#This Row],[Purchase]]-Inventory[[#This Row],[Sales]])</f>
        <v>22</v>
      </c>
      <c r="I9" s="3">
        <v>10</v>
      </c>
      <c r="J9" s="9">
        <f>IF(ISBLANK(Inventory[[#This Row],[Invent ID]]),"",AVERAGEIF(Table3[ProductID],Inventory[[#This Row],[Invent ID]],Table3[Unit_cost]))</f>
        <v>5.99</v>
      </c>
      <c r="K9" s="9">
        <v>7.05</v>
      </c>
      <c r="L9" s="9">
        <f>IFERROR(Inventory[[#This Row],[Unit_Price]]-Inventory[[#This Row],[Unit_Cost]],"")</f>
        <v>1.0599999999999996</v>
      </c>
      <c r="M9" s="9">
        <f>IFERROR(Inventory[[#This Row],[Available_Stock]]*Inventory[[#This Row],[Profit]],"")</f>
        <v>23.319999999999993</v>
      </c>
      <c r="N9" s="9">
        <f>IFERROR(Inventory[[#This Row],[Unit_Price]]*Inventory[[#This Row],[Available_Stock]],"")</f>
        <v>155.1</v>
      </c>
      <c r="O9" s="3" t="str" cm="1">
        <f t="array" ref="O9">IF(ISBLANK(Inventory[[#This Row],[Invent ID]]),"",_xlfn.IFS(Inventory[[#This Row],[Available_Stock]]=0,"Out of Stock",Inventory[[#This Row],[Available_Stock]]&lt;Inventory[[#This Row],[Reorder_Level]],"Low Stock",Inventory[[#This Row],[Available_Stock]]&gt;=Inventory[[#This Row],[Reorder_Level]],"Available_Stock"))</f>
        <v>Available_Stock</v>
      </c>
      <c r="P9"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0" spans="2:16" x14ac:dyDescent="0.3">
      <c r="D10" s="3" t="s">
        <v>16</v>
      </c>
      <c r="E10" s="3" t="s">
        <v>17</v>
      </c>
      <c r="F10" s="8">
        <f>IF(ISBLANK(Inventory[[#This Row],[Invent ID]]),"",SUMIF(Table3[ProductID],Inventory[[#This Row],[Invent ID]],Table3[Purchase]))</f>
        <v>300</v>
      </c>
      <c r="G10" s="8">
        <f>IF(ISBLANK(Inventory[[#This Row],[Invent ID]]),"",SUMIF(Table4[Sales ID],Inventory[[#This Row],[Invent ID]],Table4[Unit_sold]))</f>
        <v>275</v>
      </c>
      <c r="H10" s="8">
        <f>IF(ISBLANK(Inventory[[#This Row],[Invent ID]]),"",Inventory[[#This Row],[Purchase]]-Inventory[[#This Row],[Sales]])</f>
        <v>25</v>
      </c>
      <c r="I10" s="3">
        <v>10</v>
      </c>
      <c r="J10" s="9">
        <f>IF(ISBLANK(Inventory[[#This Row],[Invent ID]]),"",AVERAGEIF(Table3[ProductID],Inventory[[#This Row],[Invent ID]],Table3[Unit_cost]))</f>
        <v>6.99</v>
      </c>
      <c r="K10" s="9">
        <v>8.0399999999999991</v>
      </c>
      <c r="L10" s="9">
        <f>IFERROR(Inventory[[#This Row],[Unit_Price]]-Inventory[[#This Row],[Unit_Cost]],"")</f>
        <v>1.0499999999999989</v>
      </c>
      <c r="M10" s="9">
        <f>IFERROR(Inventory[[#This Row],[Available_Stock]]*Inventory[[#This Row],[Profit]],"")</f>
        <v>26.249999999999972</v>
      </c>
      <c r="N10" s="9">
        <f>IFERROR(Inventory[[#This Row],[Unit_Price]]*Inventory[[#This Row],[Available_Stock]],"")</f>
        <v>200.99999999999997</v>
      </c>
      <c r="O10" s="3" t="str" cm="1">
        <f t="array" ref="O10">IF(ISBLANK(Inventory[[#This Row],[Invent ID]]),"",_xlfn.IFS(Inventory[[#This Row],[Available_Stock]]=0,"Out of Stock",Inventory[[#This Row],[Available_Stock]]&lt;Inventory[[#This Row],[Reorder_Level]],"Low Stock",Inventory[[#This Row],[Available_Stock]]&gt;=Inventory[[#This Row],[Reorder_Level]],"Available_Stock"))</f>
        <v>Available_Stock</v>
      </c>
      <c r="P10"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1" spans="2:16" x14ac:dyDescent="0.3">
      <c r="D11" s="3" t="s">
        <v>18</v>
      </c>
      <c r="E11" s="3" t="s">
        <v>19</v>
      </c>
      <c r="F11" s="8">
        <f>IF(ISBLANK(Inventory[[#This Row],[Invent ID]]),"",SUMIF(Table3[ProductID],Inventory[[#This Row],[Invent ID]],Table3[Purchase]))</f>
        <v>97</v>
      </c>
      <c r="G11" s="8">
        <f>IF(ISBLANK(Inventory[[#This Row],[Invent ID]]),"",SUMIF(Table4[Sales ID],Inventory[[#This Row],[Invent ID]],Table4[Unit_sold]))</f>
        <v>28</v>
      </c>
      <c r="H11" s="8">
        <f>IF(ISBLANK(Inventory[[#This Row],[Invent ID]]),"",Inventory[[#This Row],[Purchase]]-Inventory[[#This Row],[Sales]])</f>
        <v>69</v>
      </c>
      <c r="I11" s="3">
        <v>15</v>
      </c>
      <c r="J11" s="9">
        <f>IF(ISBLANK(Inventory[[#This Row],[Invent ID]]),"",AVERAGEIF(Table3[ProductID],Inventory[[#This Row],[Invent ID]],Table3[Unit_cost]))</f>
        <v>2.99</v>
      </c>
      <c r="K11" s="9">
        <v>4.59</v>
      </c>
      <c r="L11" s="9">
        <f>IFERROR(Inventory[[#This Row],[Unit_Price]]-Inventory[[#This Row],[Unit_Cost]],"")</f>
        <v>1.5999999999999996</v>
      </c>
      <c r="M11" s="9">
        <f>IFERROR(Inventory[[#This Row],[Available_Stock]]*Inventory[[#This Row],[Profit]],"")</f>
        <v>110.39999999999998</v>
      </c>
      <c r="N11" s="9">
        <f>IFERROR(Inventory[[#This Row],[Unit_Price]]*Inventory[[#This Row],[Available_Stock]],"")</f>
        <v>316.70999999999998</v>
      </c>
      <c r="O11" s="3" t="str" cm="1">
        <f t="array" ref="O11">IF(ISBLANK(Inventory[[#This Row],[Invent ID]]),"",_xlfn.IFS(Inventory[[#This Row],[Available_Stock]]=0,"Out of Stock",Inventory[[#This Row],[Available_Stock]]&lt;Inventory[[#This Row],[Reorder_Level]],"Low Stock",Inventory[[#This Row],[Available_Stock]]&gt;=Inventory[[#This Row],[Reorder_Level]],"Available_Stock"))</f>
        <v>Available_Stock</v>
      </c>
      <c r="P11"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2" spans="2:16" x14ac:dyDescent="0.3">
      <c r="D12" s="3" t="s">
        <v>20</v>
      </c>
      <c r="E12" s="3" t="s">
        <v>21</v>
      </c>
      <c r="F12" s="8">
        <f>IF(ISBLANK(Inventory[[#This Row],[Invent ID]]),"",SUMIF(Table3[ProductID],Inventory[[#This Row],[Invent ID]],Table3[Purchase]))</f>
        <v>65</v>
      </c>
      <c r="G12" s="8">
        <f>IF(ISBLANK(Inventory[[#This Row],[Invent ID]]),"",SUMIF(Table4[Sales ID],Inventory[[#This Row],[Invent ID]],Table4[Unit_sold]))</f>
        <v>0</v>
      </c>
      <c r="H12" s="8">
        <f>IF(ISBLANK(Inventory[[#This Row],[Invent ID]]),"",Inventory[[#This Row],[Purchase]]-Inventory[[#This Row],[Sales]])</f>
        <v>65</v>
      </c>
      <c r="I12" s="3">
        <v>15</v>
      </c>
      <c r="J12" s="9">
        <f>IF(ISBLANK(Inventory[[#This Row],[Invent ID]]),"",AVERAGEIF(Table3[ProductID],Inventory[[#This Row],[Invent ID]],Table3[Unit_cost]))</f>
        <v>6.66</v>
      </c>
      <c r="K12" s="9">
        <v>9.0299999999999994</v>
      </c>
      <c r="L12" s="9">
        <f>IFERROR(Inventory[[#This Row],[Unit_Price]]-Inventory[[#This Row],[Unit_Cost]],"")</f>
        <v>2.3699999999999992</v>
      </c>
      <c r="M12" s="9">
        <f>IFERROR(Inventory[[#This Row],[Available_Stock]]*Inventory[[#This Row],[Profit]],"")</f>
        <v>154.04999999999995</v>
      </c>
      <c r="N12" s="9">
        <f>IFERROR(Inventory[[#This Row],[Unit_Price]]*Inventory[[#This Row],[Available_Stock]],"")</f>
        <v>586.94999999999993</v>
      </c>
      <c r="O12" s="3" t="str" cm="1">
        <f t="array" ref="O12">IF(ISBLANK(Inventory[[#This Row],[Invent ID]]),"",_xlfn.IFS(Inventory[[#This Row],[Available_Stock]]=0,"Out of Stock",Inventory[[#This Row],[Available_Stock]]&lt;Inventory[[#This Row],[Reorder_Level]],"Low Stock",Inventory[[#This Row],[Available_Stock]]&gt;=Inventory[[#This Row],[Reorder_Level]],"Available_Stock"))</f>
        <v>Available_Stock</v>
      </c>
      <c r="P12"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3" spans="2:16" x14ac:dyDescent="0.3">
      <c r="D13" s="3" t="s">
        <v>22</v>
      </c>
      <c r="E13" s="3" t="s">
        <v>23</v>
      </c>
      <c r="F13" s="8">
        <f>IF(ISBLANK(Inventory[[#This Row],[Invent ID]]),"",SUMIF(Table3[ProductID],Inventory[[#This Row],[Invent ID]],Table3[Purchase]))</f>
        <v>175</v>
      </c>
      <c r="G13" s="8">
        <f>IF(ISBLANK(Inventory[[#This Row],[Invent ID]]),"",SUMIF(Table4[Sales ID],Inventory[[#This Row],[Invent ID]],Table4[Unit_sold]))</f>
        <v>56</v>
      </c>
      <c r="H13" s="8">
        <f>IF(ISBLANK(Inventory[[#This Row],[Invent ID]]),"",Inventory[[#This Row],[Purchase]]-Inventory[[#This Row],[Sales]])</f>
        <v>119</v>
      </c>
      <c r="I13" s="3">
        <v>20</v>
      </c>
      <c r="J13" s="9">
        <f>IF(ISBLANK(Inventory[[#This Row],[Invent ID]]),"",AVERAGEIF(Table3[ProductID],Inventory[[#This Row],[Invent ID]],Table3[Unit_cost]))</f>
        <v>7.67</v>
      </c>
      <c r="K13" s="9">
        <v>9.25</v>
      </c>
      <c r="L13" s="9">
        <f>IFERROR(Inventory[[#This Row],[Unit_Price]]-Inventory[[#This Row],[Unit_Cost]],"")</f>
        <v>1.58</v>
      </c>
      <c r="M13" s="9">
        <f>IFERROR(Inventory[[#This Row],[Available_Stock]]*Inventory[[#This Row],[Profit]],"")</f>
        <v>188.02</v>
      </c>
      <c r="N13" s="9">
        <f>IFERROR(Inventory[[#This Row],[Unit_Price]]*Inventory[[#This Row],[Available_Stock]],"")</f>
        <v>1100.75</v>
      </c>
      <c r="O13" s="3" t="str" cm="1">
        <f t="array" ref="O13">IF(ISBLANK(Inventory[[#This Row],[Invent ID]]),"",_xlfn.IFS(Inventory[[#This Row],[Available_Stock]]=0,"Out of Stock",Inventory[[#This Row],[Available_Stock]]&lt;Inventory[[#This Row],[Reorder_Level]],"Low Stock",Inventory[[#This Row],[Available_Stock]]&gt;=Inventory[[#This Row],[Reorder_Level]],"Available_Stock"))</f>
        <v>Available_Stock</v>
      </c>
      <c r="P13"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4" spans="2:16" x14ac:dyDescent="0.3">
      <c r="D14" s="3" t="s">
        <v>24</v>
      </c>
      <c r="E14" s="3" t="s">
        <v>15</v>
      </c>
      <c r="F14" s="8">
        <f>IF(ISBLANK(Inventory[[#This Row],[Invent ID]]),"",SUMIF(Table3[ProductID],Inventory[[#This Row],[Invent ID]],Table3[Purchase]))</f>
        <v>54</v>
      </c>
      <c r="G14" s="8">
        <f>IF(ISBLANK(Inventory[[#This Row],[Invent ID]]),"",SUMIF(Table4[Sales ID],Inventory[[#This Row],[Invent ID]],Table4[Unit_sold]))</f>
        <v>31</v>
      </c>
      <c r="H14" s="8">
        <f>IF(ISBLANK(Inventory[[#This Row],[Invent ID]]),"",Inventory[[#This Row],[Purchase]]-Inventory[[#This Row],[Sales]])</f>
        <v>23</v>
      </c>
      <c r="I14" s="3">
        <v>20</v>
      </c>
      <c r="J14" s="9">
        <f>IF(ISBLANK(Inventory[[#This Row],[Invent ID]]),"",AVERAGEIF(Table3[ProductID],Inventory[[#This Row],[Invent ID]],Table3[Unit_cost]))</f>
        <v>8.4</v>
      </c>
      <c r="K14" s="9">
        <v>9.99</v>
      </c>
      <c r="L14" s="9">
        <f>IFERROR(Inventory[[#This Row],[Unit_Price]]-Inventory[[#This Row],[Unit_Cost]],"")</f>
        <v>1.5899999999999999</v>
      </c>
      <c r="M14" s="9">
        <f>IFERROR(Inventory[[#This Row],[Available_Stock]]*Inventory[[#This Row],[Profit]],"")</f>
        <v>36.569999999999993</v>
      </c>
      <c r="N14" s="9">
        <f>IFERROR(Inventory[[#This Row],[Unit_Price]]*Inventory[[#This Row],[Available_Stock]],"")</f>
        <v>229.77</v>
      </c>
      <c r="O14" s="3" t="str" cm="1">
        <f t="array" ref="O14">IF(ISBLANK(Inventory[[#This Row],[Invent ID]]),"",_xlfn.IFS(Inventory[[#This Row],[Available_Stock]]=0,"Out of Stock",Inventory[[#This Row],[Available_Stock]]&lt;Inventory[[#This Row],[Reorder_Level]],"Low Stock",Inventory[[#This Row],[Available_Stock]]&gt;=Inventory[[#This Row],[Reorder_Level]],"Available_Stock"))</f>
        <v>Available_Stock</v>
      </c>
      <c r="P14"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5" spans="2:16" x14ac:dyDescent="0.3">
      <c r="D15" s="3" t="s">
        <v>25</v>
      </c>
      <c r="E15" s="3" t="s">
        <v>38</v>
      </c>
      <c r="F15" s="8">
        <f>IF(ISBLANK(Inventory[[#This Row],[Invent ID]]),"",SUMIF(Table3[ProductID],Inventory[[#This Row],[Invent ID]],Table3[Purchase]))</f>
        <v>149</v>
      </c>
      <c r="G15" s="8">
        <f>IF(ISBLANK(Inventory[[#This Row],[Invent ID]]),"",SUMIF(Table4[Sales ID],Inventory[[#This Row],[Invent ID]],Table4[Unit_sold]))</f>
        <v>149</v>
      </c>
      <c r="H15" s="8">
        <f>IF(ISBLANK(Inventory[[#This Row],[Invent ID]]),"",Inventory[[#This Row],[Purchase]]-Inventory[[#This Row],[Sales]])</f>
        <v>0</v>
      </c>
      <c r="I15" s="3">
        <v>20</v>
      </c>
      <c r="J15" s="9">
        <f>IF(ISBLANK(Inventory[[#This Row],[Invent ID]]),"",AVERAGEIF(Table3[ProductID],Inventory[[#This Row],[Invent ID]],Table3[Unit_cost]))</f>
        <v>4.5999999999999996</v>
      </c>
      <c r="K15" s="9">
        <v>5.56</v>
      </c>
      <c r="L15" s="9">
        <f>IFERROR(Inventory[[#This Row],[Unit_Price]]-Inventory[[#This Row],[Unit_Cost]],"")</f>
        <v>0.96</v>
      </c>
      <c r="M15" s="9">
        <f>IFERROR(Inventory[[#This Row],[Available_Stock]]*Inventory[[#This Row],[Profit]],"")</f>
        <v>0</v>
      </c>
      <c r="N15" s="9">
        <f>IFERROR(Inventory[[#This Row],[Unit_Price]]*Inventory[[#This Row],[Available_Stock]],"")</f>
        <v>0</v>
      </c>
      <c r="O15" s="3" t="str" cm="1">
        <f t="array" ref="O15">IF(ISBLANK(Inventory[[#This Row],[Invent ID]]),"",_xlfn.IFS(Inventory[[#This Row],[Available_Stock]]=0,"Out of Stock",Inventory[[#This Row],[Available_Stock]]&lt;Inventory[[#This Row],[Reorder_Level]],"Low Stock",Inventory[[#This Row],[Available_Stock]]&gt;=Inventory[[#This Row],[Reorder_Level]],"Available_Stock"))</f>
        <v>Out of Stock</v>
      </c>
      <c r="P15"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Fresh Wine is out of stock. PT DailyDairy: +1-315-726-8986</v>
      </c>
    </row>
    <row r="16" spans="2:16" x14ac:dyDescent="0.3">
      <c r="D16" s="3" t="s">
        <v>26</v>
      </c>
      <c r="E16" s="3" t="s">
        <v>39</v>
      </c>
      <c r="F16" s="8">
        <f>IF(ISBLANK(Inventory[[#This Row],[Invent ID]]),"",SUMIF(Table3[ProductID],Inventory[[#This Row],[Invent ID]],Table3[Purchase]))</f>
        <v>160</v>
      </c>
      <c r="G16" s="8">
        <f>IF(ISBLANK(Inventory[[#This Row],[Invent ID]]),"",SUMIF(Table4[Sales ID],Inventory[[#This Row],[Invent ID]],Table4[Unit_sold]))</f>
        <v>140</v>
      </c>
      <c r="H16" s="8">
        <f>IF(ISBLANK(Inventory[[#This Row],[Invent ID]]),"",Inventory[[#This Row],[Purchase]]-Inventory[[#This Row],[Sales]])</f>
        <v>20</v>
      </c>
      <c r="I16" s="3">
        <v>20</v>
      </c>
      <c r="J16" s="9">
        <f>IF(ISBLANK(Inventory[[#This Row],[Invent ID]]),"",AVERAGEIF(Table3[ProductID],Inventory[[#This Row],[Invent ID]],Table3[Unit_cost]))</f>
        <v>5.99</v>
      </c>
      <c r="K16" s="9">
        <v>7.13</v>
      </c>
      <c r="L16" s="9">
        <f>IFERROR(Inventory[[#This Row],[Unit_Price]]-Inventory[[#This Row],[Unit_Cost]],"")</f>
        <v>1.1399999999999997</v>
      </c>
      <c r="M16" s="9">
        <f>IFERROR(Inventory[[#This Row],[Available_Stock]]*Inventory[[#This Row],[Profit]],"")</f>
        <v>22.799999999999994</v>
      </c>
      <c r="N16" s="9">
        <f>IFERROR(Inventory[[#This Row],[Unit_Price]]*Inventory[[#This Row],[Available_Stock]],"")</f>
        <v>142.6</v>
      </c>
      <c r="O16" s="3" t="str" cm="1">
        <f t="array" ref="O16">IF(ISBLANK(Inventory[[#This Row],[Invent ID]]),"",_xlfn.IFS(Inventory[[#This Row],[Available_Stock]]=0,"Out of Stock",Inventory[[#This Row],[Available_Stock]]&lt;Inventory[[#This Row],[Reorder_Level]],"Low Stock",Inventory[[#This Row],[Available_Stock]]&gt;=Inventory[[#This Row],[Reorder_Level]],"Available_Stock"))</f>
        <v>Available_Stock</v>
      </c>
      <c r="P16"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7" spans="4:16" x14ac:dyDescent="0.3">
      <c r="D17" s="3" t="s">
        <v>27</v>
      </c>
      <c r="E17" s="3" t="s">
        <v>40</v>
      </c>
      <c r="F17" s="8">
        <f>IF(ISBLANK(Inventory[[#This Row],[Invent ID]]),"",SUMIF(Table3[ProductID],Inventory[[#This Row],[Invent ID]],Table3[Purchase]))</f>
        <v>161</v>
      </c>
      <c r="G17" s="8">
        <f>IF(ISBLANK(Inventory[[#This Row],[Invent ID]]),"",SUMIF(Table4[Sales ID],Inventory[[#This Row],[Invent ID]],Table4[Unit_sold]))</f>
        <v>0</v>
      </c>
      <c r="H17" s="8">
        <f>IF(ISBLANK(Inventory[[#This Row],[Invent ID]]),"",Inventory[[#This Row],[Purchase]]-Inventory[[#This Row],[Sales]])</f>
        <v>161</v>
      </c>
      <c r="I17" s="3">
        <v>10</v>
      </c>
      <c r="J17" s="9">
        <f>IF(ISBLANK(Inventory[[#This Row],[Invent ID]]),"",AVERAGEIF(Table3[ProductID],Inventory[[#This Row],[Invent ID]],Table3[Unit_cost]))</f>
        <v>3.99</v>
      </c>
      <c r="K17" s="9">
        <v>5.77</v>
      </c>
      <c r="L17" s="9">
        <f>IFERROR(Inventory[[#This Row],[Unit_Price]]-Inventory[[#This Row],[Unit_Cost]],"")</f>
        <v>1.7799999999999994</v>
      </c>
      <c r="M17" s="9">
        <f>IFERROR(Inventory[[#This Row],[Available_Stock]]*Inventory[[#This Row],[Profit]],"")</f>
        <v>286.57999999999987</v>
      </c>
      <c r="N17" s="9">
        <f>IFERROR(Inventory[[#This Row],[Unit_Price]]*Inventory[[#This Row],[Available_Stock]],"")</f>
        <v>928.96999999999991</v>
      </c>
      <c r="O17" s="3" t="str" cm="1">
        <f t="array" ref="O17">IF(ISBLANK(Inventory[[#This Row],[Invent ID]]),"",_xlfn.IFS(Inventory[[#This Row],[Available_Stock]]=0,"Out of Stock",Inventory[[#This Row],[Available_Stock]]&lt;Inventory[[#This Row],[Reorder_Level]],"Low Stock",Inventory[[#This Row],[Available_Stock]]&gt;=Inventory[[#This Row],[Reorder_Level]],"Available_Stock"))</f>
        <v>Available_Stock</v>
      </c>
      <c r="P17"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18" spans="4:16" x14ac:dyDescent="0.3">
      <c r="D18" s="3" t="s">
        <v>28</v>
      </c>
      <c r="E18" s="3" t="s">
        <v>41</v>
      </c>
      <c r="F18" s="8">
        <f>IF(ISBLANK(Inventory[[#This Row],[Invent ID]]),"",SUMIF(Table3[ProductID],Inventory[[#This Row],[Invent ID]],Table3[Purchase]))</f>
        <v>60</v>
      </c>
      <c r="G18" s="8">
        <f>IF(ISBLANK(Inventory[[#This Row],[Invent ID]]),"",SUMIF(Table4[Sales ID],Inventory[[#This Row],[Invent ID]],Table4[Unit_sold]))</f>
        <v>60</v>
      </c>
      <c r="H18" s="8">
        <f>IF(ISBLANK(Inventory[[#This Row],[Invent ID]]),"",Inventory[[#This Row],[Purchase]]-Inventory[[#This Row],[Sales]])</f>
        <v>0</v>
      </c>
      <c r="I18" s="3">
        <v>20</v>
      </c>
      <c r="J18" s="9">
        <f>IF(ISBLANK(Inventory[[#This Row],[Invent ID]]),"",AVERAGEIF(Table3[ProductID],Inventory[[#This Row],[Invent ID]],Table3[Unit_cost]))</f>
        <v>9.06</v>
      </c>
      <c r="K18" s="9">
        <v>11.5</v>
      </c>
      <c r="L18" s="9">
        <f>IFERROR(Inventory[[#This Row],[Unit_Price]]-Inventory[[#This Row],[Unit_Cost]],"")</f>
        <v>2.4399999999999995</v>
      </c>
      <c r="M18" s="9">
        <f>IFERROR(Inventory[[#This Row],[Available_Stock]]*Inventory[[#This Row],[Profit]],"")</f>
        <v>0</v>
      </c>
      <c r="N18" s="9">
        <f>IFERROR(Inventory[[#This Row],[Unit_Price]]*Inventory[[#This Row],[Available_Stock]],"")</f>
        <v>0</v>
      </c>
      <c r="O18" s="3" t="str" cm="1">
        <f t="array" ref="O18">IF(ISBLANK(Inventory[[#This Row],[Invent ID]]),"",_xlfn.IFS(Inventory[[#This Row],[Available_Stock]]=0,"Out of Stock",Inventory[[#This Row],[Available_Stock]]&lt;Inventory[[#This Row],[Reorder_Level]],"Low Stock",Inventory[[#This Row],[Available_Stock]]&gt;=Inventory[[#This Row],[Reorder_Level]],"Available_Stock"))</f>
        <v>Out of Stock</v>
      </c>
      <c r="P18"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Beauty Care is out of stock. PT Agro Raya: +1-319-543-2253</v>
      </c>
    </row>
    <row r="19" spans="4:16" x14ac:dyDescent="0.3">
      <c r="D19" s="3" t="s">
        <v>29</v>
      </c>
      <c r="E19" s="3" t="s">
        <v>42</v>
      </c>
      <c r="F19" s="8">
        <f>IF(ISBLANK(Inventory[[#This Row],[Invent ID]]),"",SUMIF(Table3[ProductID],Inventory[[#This Row],[Invent ID]],Table3[Purchase]))</f>
        <v>75</v>
      </c>
      <c r="G19" s="8">
        <f>IF(ISBLANK(Inventory[[#This Row],[Invent ID]]),"",SUMIF(Table4[Sales ID],Inventory[[#This Row],[Invent ID]],Table4[Unit_sold]))</f>
        <v>72</v>
      </c>
      <c r="H19" s="8">
        <f>IF(ISBLANK(Inventory[[#This Row],[Invent ID]]),"",Inventory[[#This Row],[Purchase]]-Inventory[[#This Row],[Sales]])</f>
        <v>3</v>
      </c>
      <c r="I19" s="3">
        <v>10</v>
      </c>
      <c r="J19" s="9">
        <f>IF(ISBLANK(Inventory[[#This Row],[Invent ID]]),"",AVERAGEIF(Table3[ProductID],Inventory[[#This Row],[Invent ID]],Table3[Unit_cost]))</f>
        <v>6.45</v>
      </c>
      <c r="K19" s="9">
        <v>7.5</v>
      </c>
      <c r="L19" s="9">
        <f>IFERROR(Inventory[[#This Row],[Unit_Price]]-Inventory[[#This Row],[Unit_Cost]],"")</f>
        <v>1.0499999999999998</v>
      </c>
      <c r="M19" s="9">
        <f>IFERROR(Inventory[[#This Row],[Available_Stock]]*Inventory[[#This Row],[Profit]],"")</f>
        <v>3.1499999999999995</v>
      </c>
      <c r="N19" s="9">
        <f>IFERROR(Inventory[[#This Row],[Unit_Price]]*Inventory[[#This Row],[Available_Stock]],"")</f>
        <v>22.5</v>
      </c>
      <c r="O19" s="3" t="str" cm="1">
        <f t="array" ref="O19">IF(ISBLANK(Inventory[[#This Row],[Invent ID]]),"",_xlfn.IFS(Inventory[[#This Row],[Available_Stock]]=0,"Out of Stock",Inventory[[#This Row],[Available_Stock]]&lt;Inventory[[#This Row],[Reorder_Level]],"Low Stock",Inventory[[#This Row],[Available_Stock]]&gt;=Inventory[[#This Row],[Reorder_Level]],"Available_Stock"))</f>
        <v>Low Stock</v>
      </c>
      <c r="P19"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0" spans="4:16" x14ac:dyDescent="0.3">
      <c r="D20" s="3" t="s">
        <v>30</v>
      </c>
      <c r="E20" s="3" t="s">
        <v>43</v>
      </c>
      <c r="F20" s="8">
        <f>IF(ISBLANK(Inventory[[#This Row],[Invent ID]]),"",SUMIF(Table3[ProductID],Inventory[[#This Row],[Invent ID]],Table3[Purchase]))</f>
        <v>149</v>
      </c>
      <c r="G20" s="8">
        <f>IF(ISBLANK(Inventory[[#This Row],[Invent ID]]),"",SUMIF(Table4[Sales ID],Inventory[[#This Row],[Invent ID]],Table4[Unit_sold]))</f>
        <v>61</v>
      </c>
      <c r="H20" s="8">
        <f>IF(ISBLANK(Inventory[[#This Row],[Invent ID]]),"",Inventory[[#This Row],[Purchase]]-Inventory[[#This Row],[Sales]])</f>
        <v>88</v>
      </c>
      <c r="I20" s="3">
        <v>20</v>
      </c>
      <c r="J20" s="9">
        <f>IF(ISBLANK(Inventory[[#This Row],[Invent ID]]),"",AVERAGEIF(Table3[ProductID],Inventory[[#This Row],[Invent ID]],Table3[Unit_cost]))</f>
        <v>5.99</v>
      </c>
      <c r="K20" s="9">
        <v>6.99</v>
      </c>
      <c r="L20" s="9">
        <f>IFERROR(Inventory[[#This Row],[Unit_Price]]-Inventory[[#This Row],[Unit_Cost]],"")</f>
        <v>1</v>
      </c>
      <c r="M20" s="9">
        <f>IFERROR(Inventory[[#This Row],[Available_Stock]]*Inventory[[#This Row],[Profit]],"")</f>
        <v>88</v>
      </c>
      <c r="N20" s="9">
        <f>IFERROR(Inventory[[#This Row],[Unit_Price]]*Inventory[[#This Row],[Available_Stock]],"")</f>
        <v>615.12</v>
      </c>
      <c r="O20" s="3" t="str" cm="1">
        <f t="array" ref="O20">IF(ISBLANK(Inventory[[#This Row],[Invent ID]]),"",_xlfn.IFS(Inventory[[#This Row],[Available_Stock]]=0,"Out of Stock",Inventory[[#This Row],[Available_Stock]]&lt;Inventory[[#This Row],[Reorder_Level]],"Low Stock",Inventory[[#This Row],[Available_Stock]]&gt;=Inventory[[#This Row],[Reorder_Level]],"Available_Stock"))</f>
        <v>Available_Stock</v>
      </c>
      <c r="P20"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1" spans="4:16" x14ac:dyDescent="0.3">
      <c r="D21" s="3" t="s">
        <v>31</v>
      </c>
      <c r="E21" s="3" t="s">
        <v>44</v>
      </c>
      <c r="F21" s="8">
        <f>IF(ISBLANK(Inventory[[#This Row],[Invent ID]]),"",SUMIF(Table3[ProductID],Inventory[[#This Row],[Invent ID]],Table3[Purchase]))</f>
        <v>6</v>
      </c>
      <c r="G21" s="8">
        <f>IF(ISBLANK(Inventory[[#This Row],[Invent ID]]),"",SUMIF(Table4[Sales ID],Inventory[[#This Row],[Invent ID]],Table4[Unit_sold]))</f>
        <v>0</v>
      </c>
      <c r="H21" s="8">
        <f>IF(ISBLANK(Inventory[[#This Row],[Invent ID]]),"",Inventory[[#This Row],[Purchase]]-Inventory[[#This Row],[Sales]])</f>
        <v>6</v>
      </c>
      <c r="I21" s="3">
        <v>20</v>
      </c>
      <c r="J21" s="9">
        <f>IF(ISBLANK(Inventory[[#This Row],[Invent ID]]),"",AVERAGEIF(Table3[ProductID],Inventory[[#This Row],[Invent ID]],Table3[Unit_cost]))</f>
        <v>4.22</v>
      </c>
      <c r="K21" s="9">
        <v>5.99</v>
      </c>
      <c r="L21" s="9">
        <f>IFERROR(Inventory[[#This Row],[Unit_Price]]-Inventory[[#This Row],[Unit_Cost]],"")</f>
        <v>1.7700000000000005</v>
      </c>
      <c r="M21" s="9">
        <f>IFERROR(Inventory[[#This Row],[Available_Stock]]*Inventory[[#This Row],[Profit]],"")</f>
        <v>10.620000000000003</v>
      </c>
      <c r="N21" s="9">
        <f>IFERROR(Inventory[[#This Row],[Unit_Price]]*Inventory[[#This Row],[Available_Stock]],"")</f>
        <v>35.94</v>
      </c>
      <c r="O21" s="3" t="str" cm="1">
        <f t="array" ref="O21">IF(ISBLANK(Inventory[[#This Row],[Invent ID]]),"",_xlfn.IFS(Inventory[[#This Row],[Available_Stock]]=0,"Out of Stock",Inventory[[#This Row],[Available_Stock]]&lt;Inventory[[#This Row],[Reorder_Level]],"Low Stock",Inventory[[#This Row],[Available_Stock]]&gt;=Inventory[[#This Row],[Reorder_Level]],"Available_Stock"))</f>
        <v>Low Stock</v>
      </c>
      <c r="P21"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2" spans="4:16" x14ac:dyDescent="0.3">
      <c r="D22" s="3" t="s">
        <v>32</v>
      </c>
      <c r="E22" s="3" t="s">
        <v>45</v>
      </c>
      <c r="F22" s="8">
        <f>IF(ISBLANK(Inventory[[#This Row],[Invent ID]]),"",SUMIF(Table3[ProductID],Inventory[[#This Row],[Invent ID]],Table3[Purchase]))</f>
        <v>176</v>
      </c>
      <c r="G22" s="8">
        <f>IF(ISBLANK(Inventory[[#This Row],[Invent ID]]),"",SUMIF(Table4[Sales ID],Inventory[[#This Row],[Invent ID]],Table4[Unit_sold]))</f>
        <v>67</v>
      </c>
      <c r="H22" s="8">
        <f>IF(ISBLANK(Inventory[[#This Row],[Invent ID]]),"",Inventory[[#This Row],[Purchase]]-Inventory[[#This Row],[Sales]])</f>
        <v>109</v>
      </c>
      <c r="I22" s="3">
        <v>20</v>
      </c>
      <c r="J22" s="9">
        <f>IF(ISBLANK(Inventory[[#This Row],[Invent ID]]),"",AVERAGEIF(Table3[ProductID],Inventory[[#This Row],[Invent ID]],Table3[Unit_cost]))</f>
        <v>4.88</v>
      </c>
      <c r="K22" s="9">
        <v>6.12</v>
      </c>
      <c r="L22" s="9">
        <f>IFERROR(Inventory[[#This Row],[Unit_Price]]-Inventory[[#This Row],[Unit_Cost]],"")</f>
        <v>1.2400000000000002</v>
      </c>
      <c r="M22" s="9">
        <f>IFERROR(Inventory[[#This Row],[Available_Stock]]*Inventory[[#This Row],[Profit]],"")</f>
        <v>135.16000000000003</v>
      </c>
      <c r="N22" s="9">
        <f>IFERROR(Inventory[[#This Row],[Unit_Price]]*Inventory[[#This Row],[Available_Stock]],"")</f>
        <v>667.08</v>
      </c>
      <c r="O22" s="3" t="str" cm="1">
        <f t="array" ref="O22">IF(ISBLANK(Inventory[[#This Row],[Invent ID]]),"",_xlfn.IFS(Inventory[[#This Row],[Available_Stock]]=0,"Out of Stock",Inventory[[#This Row],[Available_Stock]]&lt;Inventory[[#This Row],[Reorder_Level]],"Low Stock",Inventory[[#This Row],[Available_Stock]]&gt;=Inventory[[#This Row],[Reorder_Level]],"Available_Stock"))</f>
        <v>Available_Stock</v>
      </c>
      <c r="P22"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3" spans="4:16" x14ac:dyDescent="0.3">
      <c r="D23" s="3" t="s">
        <v>33</v>
      </c>
      <c r="E23" s="3" t="s">
        <v>46</v>
      </c>
      <c r="F23" s="8">
        <f>IF(ISBLANK(Inventory[[#This Row],[Invent ID]]),"",SUMIF(Table3[ProductID],Inventory[[#This Row],[Invent ID]],Table3[Purchase]))</f>
        <v>146</v>
      </c>
      <c r="G23" s="8">
        <f>IF(ISBLANK(Inventory[[#This Row],[Invent ID]]),"",SUMIF(Table4[Sales ID],Inventory[[#This Row],[Invent ID]],Table4[Unit_sold]))</f>
        <v>86</v>
      </c>
      <c r="H23" s="8">
        <f>IF(ISBLANK(Inventory[[#This Row],[Invent ID]]),"",Inventory[[#This Row],[Purchase]]-Inventory[[#This Row],[Sales]])</f>
        <v>60</v>
      </c>
      <c r="I23" s="3">
        <v>10</v>
      </c>
      <c r="J23" s="9">
        <f>IF(ISBLANK(Inventory[[#This Row],[Invent ID]]),"",AVERAGEIF(Table3[ProductID],Inventory[[#This Row],[Invent ID]],Table3[Unit_cost]))</f>
        <v>4.1900000000000004</v>
      </c>
      <c r="K23" s="9">
        <v>5.88</v>
      </c>
      <c r="L23" s="9">
        <f>IFERROR(Inventory[[#This Row],[Unit_Price]]-Inventory[[#This Row],[Unit_Cost]],"")</f>
        <v>1.6899999999999995</v>
      </c>
      <c r="M23" s="9">
        <f>IFERROR(Inventory[[#This Row],[Available_Stock]]*Inventory[[#This Row],[Profit]],"")</f>
        <v>101.39999999999998</v>
      </c>
      <c r="N23" s="9">
        <f>IFERROR(Inventory[[#This Row],[Unit_Price]]*Inventory[[#This Row],[Available_Stock]],"")</f>
        <v>352.8</v>
      </c>
      <c r="O23" s="3" t="str" cm="1">
        <f t="array" ref="O23">IF(ISBLANK(Inventory[[#This Row],[Invent ID]]),"",_xlfn.IFS(Inventory[[#This Row],[Available_Stock]]=0,"Out of Stock",Inventory[[#This Row],[Available_Stock]]&lt;Inventory[[#This Row],[Reorder_Level]],"Low Stock",Inventory[[#This Row],[Available_Stock]]&gt;=Inventory[[#This Row],[Reorder_Level]],"Available_Stock"))</f>
        <v>Available_Stock</v>
      </c>
      <c r="P23"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4" spans="4:16" x14ac:dyDescent="0.3">
      <c r="D24" s="3" t="s">
        <v>34</v>
      </c>
      <c r="E24" s="3" t="s">
        <v>47</v>
      </c>
      <c r="F24" s="8">
        <f>IF(ISBLANK(Inventory[[#This Row],[Invent ID]]),"",SUMIF(Table3[ProductID],Inventory[[#This Row],[Invent ID]],Table3[Purchase]))</f>
        <v>104</v>
      </c>
      <c r="G24" s="8">
        <f>IF(ISBLANK(Inventory[[#This Row],[Invent ID]]),"",SUMIF(Table4[Sales ID],Inventory[[#This Row],[Invent ID]],Table4[Unit_sold]))</f>
        <v>76</v>
      </c>
      <c r="H24" s="8">
        <f>IF(ISBLANK(Inventory[[#This Row],[Invent ID]]),"",Inventory[[#This Row],[Purchase]]-Inventory[[#This Row],[Sales]])</f>
        <v>28</v>
      </c>
      <c r="I24" s="3">
        <v>10</v>
      </c>
      <c r="J24" s="9">
        <f>IF(ISBLANK(Inventory[[#This Row],[Invent ID]]),"",AVERAGEIF(Table3[ProductID],Inventory[[#This Row],[Invent ID]],Table3[Unit_cost]))</f>
        <v>4.1100000000000003</v>
      </c>
      <c r="K24" s="9">
        <v>6.19</v>
      </c>
      <c r="L24" s="9">
        <f>IFERROR(Inventory[[#This Row],[Unit_Price]]-Inventory[[#This Row],[Unit_Cost]],"")</f>
        <v>2.08</v>
      </c>
      <c r="M24" s="9">
        <f>IFERROR(Inventory[[#This Row],[Available_Stock]]*Inventory[[#This Row],[Profit]],"")</f>
        <v>58.24</v>
      </c>
      <c r="N24" s="9">
        <f>IFERROR(Inventory[[#This Row],[Unit_Price]]*Inventory[[#This Row],[Available_Stock]],"")</f>
        <v>173.32000000000002</v>
      </c>
      <c r="O24" s="3" t="str" cm="1">
        <f t="array" ref="O24">IF(ISBLANK(Inventory[[#This Row],[Invent ID]]),"",_xlfn.IFS(Inventory[[#This Row],[Available_Stock]]=0,"Out of Stock",Inventory[[#This Row],[Available_Stock]]&lt;Inventory[[#This Row],[Reorder_Level]],"Low Stock",Inventory[[#This Row],[Available_Stock]]&gt;=Inventory[[#This Row],[Reorder_Level]],"Available_Stock"))</f>
        <v>Available_Stock</v>
      </c>
      <c r="P24"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5" spans="4:16" x14ac:dyDescent="0.3">
      <c r="D25" s="3" t="s">
        <v>35</v>
      </c>
      <c r="E25" s="3" t="s">
        <v>48</v>
      </c>
      <c r="F25" s="8">
        <f>IF(ISBLANK(Inventory[[#This Row],[Invent ID]]),"",SUMIF(Table3[ProductID],Inventory[[#This Row],[Invent ID]],Table3[Purchase]))</f>
        <v>151</v>
      </c>
      <c r="G25" s="8">
        <f>IF(ISBLANK(Inventory[[#This Row],[Invent ID]]),"",SUMIF(Table4[Sales ID],Inventory[[#This Row],[Invent ID]],Table4[Unit_sold]))</f>
        <v>131</v>
      </c>
      <c r="H25" s="8">
        <f>IF(ISBLANK(Inventory[[#This Row],[Invent ID]]),"",Inventory[[#This Row],[Purchase]]-Inventory[[#This Row],[Sales]])</f>
        <v>20</v>
      </c>
      <c r="I25" s="3">
        <v>15</v>
      </c>
      <c r="J25" s="9">
        <f>IF(ISBLANK(Inventory[[#This Row],[Invent ID]]),"",AVERAGEIF(Table3[ProductID],Inventory[[#This Row],[Invent ID]],Table3[Unit_cost]))</f>
        <v>5.44</v>
      </c>
      <c r="K25" s="9">
        <v>9.0500000000000007</v>
      </c>
      <c r="L25" s="9">
        <f>IFERROR(Inventory[[#This Row],[Unit_Price]]-Inventory[[#This Row],[Unit_Cost]],"")</f>
        <v>3.6100000000000003</v>
      </c>
      <c r="M25" s="9">
        <f>IFERROR(Inventory[[#This Row],[Available_Stock]]*Inventory[[#This Row],[Profit]],"")</f>
        <v>72.2</v>
      </c>
      <c r="N25" s="9">
        <f>IFERROR(Inventory[[#This Row],[Unit_Price]]*Inventory[[#This Row],[Available_Stock]],"")</f>
        <v>181</v>
      </c>
      <c r="O25" s="3" t="str" cm="1">
        <f t="array" ref="O25">IF(ISBLANK(Inventory[[#This Row],[Invent ID]]),"",_xlfn.IFS(Inventory[[#This Row],[Available_Stock]]=0,"Out of Stock",Inventory[[#This Row],[Available_Stock]]&lt;Inventory[[#This Row],[Reorder_Level]],"Low Stock",Inventory[[#This Row],[Available_Stock]]&gt;=Inventory[[#This Row],[Reorder_Level]],"Available_Stock"))</f>
        <v>Available_Stock</v>
      </c>
      <c r="P25"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6" spans="4:16" hidden="1" x14ac:dyDescent="0.3">
      <c r="F26" s="8" t="str">
        <f>IF(ISBLANK(Inventory[[#This Row],[Invent ID]]),"",SUMIF(Table3[ProductID],Inventory[[#This Row],[Invent ID]],Table3[Purchase]))</f>
        <v/>
      </c>
      <c r="G26" s="8" t="str">
        <f>IF(ISBLANK(Inventory[[#This Row],[Invent ID]]),"",SUMIF(Table4[Sales ID],Inventory[[#This Row],[Invent ID]],Table4[Unit_sold]))</f>
        <v/>
      </c>
      <c r="H26" s="8" t="str">
        <f>IF(ISBLANK(Inventory[[#This Row],[Invent ID]]),"",Inventory[[#This Row],[Purchase]]-Inventory[[#This Row],[Sales]])</f>
        <v/>
      </c>
      <c r="J26" s="9" t="str">
        <f>IF(ISBLANK(Inventory[[#This Row],[Invent ID]]),"",AVERAGEIF(Table3[ProductID],Inventory[[#This Row],[Invent ID]],Table3[Unit_cost]))</f>
        <v/>
      </c>
      <c r="K26" s="9"/>
      <c r="L26" s="9" t="str">
        <f>IFERROR(Inventory[[#This Row],[Unit_Price]]-Inventory[[#This Row],[Unit_Cost]],"")</f>
        <v/>
      </c>
      <c r="M26" s="9" t="str">
        <f>IFERROR(Inventory[[#This Row],[Available_Stock]]*Inventory[[#This Row],[Profit]],"")</f>
        <v/>
      </c>
      <c r="N26" s="9" t="str">
        <f>IFERROR(Inventory[[#This Row],[Unit_Price]]*Inventory[[#This Row],[Available_Stock]],"")</f>
        <v/>
      </c>
      <c r="O26" s="3" t="str" cm="1">
        <f t="array" ref="O26">IF(ISBLANK(Inventory[[#This Row],[Invent ID]]),"",_xlfn.IFS(Inventory[[#This Row],[Available_Stock]]=0,"Out of Stock",Inventory[[#This Row],[Available_Stock]]&lt;Inventory[[#This Row],[Reorder_Level]],"Low Stock",Inventory[[#This Row],[Available_Stock]]&gt;=Inventory[[#This Row],[Reorder_Level]],"Available_Stock"))</f>
        <v/>
      </c>
      <c r="P26"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7" spans="4:16" hidden="1" x14ac:dyDescent="0.3">
      <c r="F27" s="8" t="str">
        <f>IF(ISBLANK(Inventory[[#This Row],[Invent ID]]),"",SUMIF(Table3[ProductID],Inventory[[#This Row],[Invent ID]],Table3[Purchase]))</f>
        <v/>
      </c>
      <c r="G27" s="8" t="str">
        <f>IF(ISBLANK(Inventory[[#This Row],[Invent ID]]),"",SUMIF(Table4[Sales ID],Inventory[[#This Row],[Invent ID]],Table4[Unit_sold]))</f>
        <v/>
      </c>
      <c r="H27" s="8" t="str">
        <f>IF(ISBLANK(Inventory[[#This Row],[Invent ID]]),"",Inventory[[#This Row],[Purchase]]-Inventory[[#This Row],[Sales]])</f>
        <v/>
      </c>
      <c r="J27" s="9" t="str">
        <f>IF(ISBLANK(Inventory[[#This Row],[Invent ID]]),"",AVERAGEIF(Table3[ProductID],Inventory[[#This Row],[Invent ID]],Table3[Unit_cost]))</f>
        <v/>
      </c>
      <c r="K27" s="9"/>
      <c r="L27" s="9" t="str">
        <f>IFERROR(Inventory[[#This Row],[Unit_Price]]-Inventory[[#This Row],[Unit_Cost]],"")</f>
        <v/>
      </c>
      <c r="M27" s="9" t="str">
        <f>IFERROR(Inventory[[#This Row],[Available_Stock]]*Inventory[[#This Row],[Profit]],"")</f>
        <v/>
      </c>
      <c r="N27" s="9" t="str">
        <f>IFERROR(Inventory[[#This Row],[Unit_Price]]*Inventory[[#This Row],[Available_Stock]],"")</f>
        <v/>
      </c>
      <c r="O27" s="3" t="str" cm="1">
        <f t="array" ref="O27">IF(ISBLANK(Inventory[[#This Row],[Invent ID]]),"",_xlfn.IFS(Inventory[[#This Row],[Available_Stock]]=0,"Out of Stock",Inventory[[#This Row],[Available_Stock]]&lt;Inventory[[#This Row],[Reorder_Level]],"Low Stock",Inventory[[#This Row],[Available_Stock]]&gt;=Inventory[[#This Row],[Reorder_Level]],"Available_Stock"))</f>
        <v/>
      </c>
      <c r="P27"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8" spans="4:16" hidden="1" x14ac:dyDescent="0.3">
      <c r="F28" s="8" t="str">
        <f>IF(ISBLANK(Inventory[[#This Row],[Invent ID]]),"",SUMIF(Table3[ProductID],Inventory[[#This Row],[Invent ID]],Table3[Purchase]))</f>
        <v/>
      </c>
      <c r="G28" s="8" t="str">
        <f>IF(ISBLANK(Inventory[[#This Row],[Invent ID]]),"",SUMIF(Table4[Sales ID],Inventory[[#This Row],[Invent ID]],Table4[Unit_sold]))</f>
        <v/>
      </c>
      <c r="H28" s="8" t="str">
        <f>IF(ISBLANK(Inventory[[#This Row],[Invent ID]]),"",Inventory[[#This Row],[Purchase]]-Inventory[[#This Row],[Sales]])</f>
        <v/>
      </c>
      <c r="J28" s="9" t="str">
        <f>IF(ISBLANK(Inventory[[#This Row],[Invent ID]]),"",AVERAGEIF(Table3[ProductID],Inventory[[#This Row],[Invent ID]],Table3[Unit_cost]))</f>
        <v/>
      </c>
      <c r="K28" s="9"/>
      <c r="L28" s="9" t="str">
        <f>IFERROR(Inventory[[#This Row],[Unit_Price]]-Inventory[[#This Row],[Unit_Cost]],"")</f>
        <v/>
      </c>
      <c r="M28" s="9" t="str">
        <f>IFERROR(Inventory[[#This Row],[Available_Stock]]*Inventory[[#This Row],[Profit]],"")</f>
        <v/>
      </c>
      <c r="N28" s="9" t="str">
        <f>IFERROR(Inventory[[#This Row],[Unit_Price]]*Inventory[[#This Row],[Available_Stock]],"")</f>
        <v/>
      </c>
      <c r="O28" s="3" t="str" cm="1">
        <f t="array" ref="O28">IF(ISBLANK(Inventory[[#This Row],[Invent ID]]),"",_xlfn.IFS(Inventory[[#This Row],[Available_Stock]]=0,"Out of Stock",Inventory[[#This Row],[Available_Stock]]&lt;Inventory[[#This Row],[Reorder_Level]],"Low Stock",Inventory[[#This Row],[Available_Stock]]&gt;=Inventory[[#This Row],[Reorder_Level]],"Available_Stock"))</f>
        <v/>
      </c>
      <c r="P28"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29" spans="4:16" x14ac:dyDescent="0.3">
      <c r="F29" s="8" t="str">
        <f>IF(ISBLANK(Inventory[[#This Row],[Invent ID]]),"",SUMIF(Table3[ProductID],Inventory[[#This Row],[Invent ID]],Table3[Purchase]))</f>
        <v/>
      </c>
      <c r="G29" s="8" t="str">
        <f>IF(ISBLANK(Inventory[[#This Row],[Invent ID]]),"",SUMIF(Table4[Sales ID],Inventory[[#This Row],[Invent ID]],Table4[Unit_sold]))</f>
        <v/>
      </c>
      <c r="H29" s="8" t="str">
        <f>IF(ISBLANK(Inventory[[#This Row],[Invent ID]]),"",Inventory[[#This Row],[Purchase]]-Inventory[[#This Row],[Sales]])</f>
        <v/>
      </c>
      <c r="J29" s="9" t="str">
        <f>IF(ISBLANK(Inventory[[#This Row],[Invent ID]]),"",AVERAGEIF(Table3[ProductID],Inventory[[#This Row],[Invent ID]],Table3[Unit_cost]))</f>
        <v/>
      </c>
      <c r="K29" s="9"/>
      <c r="L29" s="9" t="str">
        <f>IFERROR(Inventory[[#This Row],[Unit_Price]]-Inventory[[#This Row],[Unit_Cost]],"")</f>
        <v/>
      </c>
      <c r="M29" s="9" t="str">
        <f>IFERROR(Inventory[[#This Row],[Available_Stock]]*Inventory[[#This Row],[Profit]],"")</f>
        <v/>
      </c>
      <c r="N29" s="9" t="str">
        <f>IFERROR(Inventory[[#This Row],[Unit_Price]]*Inventory[[#This Row],[Available_Stock]],"")</f>
        <v/>
      </c>
      <c r="O29" s="3" t="str" cm="1">
        <f t="array" ref="O29">IF(ISBLANK(Inventory[[#This Row],[Invent ID]]),"",_xlfn.IFS(Inventory[[#This Row],[Available_Stock]]=0,"Out of Stock",Inventory[[#This Row],[Available_Stock]]&lt;Inventory[[#This Row],[Reorder_Level]],"Low Stock",Inventory[[#This Row],[Available_Stock]]&gt;=Inventory[[#This Row],[Reorder_Level]],"Available_Stock"))</f>
        <v/>
      </c>
      <c r="P29"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0" spans="4:16" x14ac:dyDescent="0.3">
      <c r="F30" s="8" t="str">
        <f>IF(ISBLANK(Inventory[[#This Row],[Invent ID]]),"",SUMIF(Table3[ProductID],Inventory[[#This Row],[Invent ID]],Table3[Purchase]))</f>
        <v/>
      </c>
      <c r="G30" s="8" t="str">
        <f>IF(ISBLANK(Inventory[[#This Row],[Invent ID]]),"",SUMIF(Table4[Sales ID],Inventory[[#This Row],[Invent ID]],Table4[Unit_sold]))</f>
        <v/>
      </c>
      <c r="H30" s="8" t="str">
        <f>IF(ISBLANK(Inventory[[#This Row],[Invent ID]]),"",Inventory[[#This Row],[Purchase]]-Inventory[[#This Row],[Sales]])</f>
        <v/>
      </c>
      <c r="J30" s="9" t="str">
        <f>IF(ISBLANK(Inventory[[#This Row],[Invent ID]]),"",AVERAGEIF(Table3[ProductID],Inventory[[#This Row],[Invent ID]],Table3[Unit_cost]))</f>
        <v/>
      </c>
      <c r="K30" s="9"/>
      <c r="L30" s="9" t="str">
        <f>IFERROR(Inventory[[#This Row],[Unit_Price]]-Inventory[[#This Row],[Unit_Cost]],"")</f>
        <v/>
      </c>
      <c r="M30" s="9" t="str">
        <f>IFERROR(Inventory[[#This Row],[Available_Stock]]*Inventory[[#This Row],[Profit]],"")</f>
        <v/>
      </c>
      <c r="N30" s="9" t="str">
        <f>IFERROR(Inventory[[#This Row],[Unit_Price]]*Inventory[[#This Row],[Available_Stock]],"")</f>
        <v/>
      </c>
      <c r="O30" s="3" t="str" cm="1">
        <f t="array" ref="O30">IF(ISBLANK(Inventory[[#This Row],[Invent ID]]),"",_xlfn.IFS(Inventory[[#This Row],[Available_Stock]]=0,"Out of Stock",Inventory[[#This Row],[Available_Stock]]&lt;Inventory[[#This Row],[Reorder_Level]],"Low Stock",Inventory[[#This Row],[Available_Stock]]&gt;=Inventory[[#This Row],[Reorder_Level]],"Available_Stock"))</f>
        <v/>
      </c>
      <c r="P30"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1" spans="4:16" x14ac:dyDescent="0.3">
      <c r="F31" s="8" t="str">
        <f>IF(ISBLANK(Inventory[[#This Row],[Invent ID]]),"",SUMIF(Table3[ProductID],Inventory[[#This Row],[Invent ID]],Table3[Purchase]))</f>
        <v/>
      </c>
      <c r="G31" s="8" t="str">
        <f>IF(ISBLANK(Inventory[[#This Row],[Invent ID]]),"",SUMIF(Table4[Sales ID],Inventory[[#This Row],[Invent ID]],Table4[Unit_sold]))</f>
        <v/>
      </c>
      <c r="H31" s="8" t="str">
        <f>IF(ISBLANK(Inventory[[#This Row],[Invent ID]]),"",Inventory[[#This Row],[Purchase]]-Inventory[[#This Row],[Sales]])</f>
        <v/>
      </c>
      <c r="J31" s="9" t="str">
        <f>IF(ISBLANK(Inventory[[#This Row],[Invent ID]]),"",AVERAGEIF(Table3[ProductID],Inventory[[#This Row],[Invent ID]],Table3[Unit_cost]))</f>
        <v/>
      </c>
      <c r="K31" s="9"/>
      <c r="L31" s="9" t="str">
        <f>IFERROR(Inventory[[#This Row],[Unit_Price]]-Inventory[[#This Row],[Unit_Cost]],"")</f>
        <v/>
      </c>
      <c r="M31" s="9" t="str">
        <f>IFERROR(Inventory[[#This Row],[Available_Stock]]*Inventory[[#This Row],[Profit]],"")</f>
        <v/>
      </c>
      <c r="N31" s="9" t="str">
        <f>IFERROR(Inventory[[#This Row],[Unit_Price]]*Inventory[[#This Row],[Available_Stock]],"")</f>
        <v/>
      </c>
      <c r="O31" s="3" t="str" cm="1">
        <f t="array" ref="O31">IF(ISBLANK(Inventory[[#This Row],[Invent ID]]),"",_xlfn.IFS(Inventory[[#This Row],[Available_Stock]]=0,"Out of Stock",Inventory[[#This Row],[Available_Stock]]&lt;Inventory[[#This Row],[Reorder_Level]],"Low Stock",Inventory[[#This Row],[Available_Stock]]&gt;=Inventory[[#This Row],[Reorder_Level]],"Available_Stock"))</f>
        <v/>
      </c>
      <c r="P31"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2" spans="4:16" x14ac:dyDescent="0.3">
      <c r="F32" s="8" t="str">
        <f>IF(ISBLANK(Inventory[[#This Row],[Invent ID]]),"",SUMIF(Table3[ProductID],Inventory[[#This Row],[Invent ID]],Table3[Purchase]))</f>
        <v/>
      </c>
      <c r="G32" s="8" t="str">
        <f>IF(ISBLANK(Inventory[[#This Row],[Invent ID]]),"",SUMIF(Table4[Sales ID],Inventory[[#This Row],[Invent ID]],Table4[Unit_sold]))</f>
        <v/>
      </c>
      <c r="H32" s="8" t="str">
        <f>IF(ISBLANK(Inventory[[#This Row],[Invent ID]]),"",Inventory[[#This Row],[Purchase]]-Inventory[[#This Row],[Sales]])</f>
        <v/>
      </c>
      <c r="J32" s="9" t="str">
        <f>IF(ISBLANK(Inventory[[#This Row],[Invent ID]]),"",AVERAGEIF(Table3[ProductID],Inventory[[#This Row],[Invent ID]],Table3[Unit_cost]))</f>
        <v/>
      </c>
      <c r="K32" s="9"/>
      <c r="L32" s="9" t="str">
        <f>IFERROR(Inventory[[#This Row],[Unit_Price]]-Inventory[[#This Row],[Unit_Cost]],"")</f>
        <v/>
      </c>
      <c r="M32" s="9" t="str">
        <f>IFERROR(Inventory[[#This Row],[Available_Stock]]*Inventory[[#This Row],[Profit]],"")</f>
        <v/>
      </c>
      <c r="N32" s="9" t="str">
        <f>IFERROR(Inventory[[#This Row],[Unit_Price]]*Inventory[[#This Row],[Available_Stock]],"")</f>
        <v/>
      </c>
      <c r="O32" s="3" t="str" cm="1">
        <f t="array" ref="O32">IF(ISBLANK(Inventory[[#This Row],[Invent ID]]),"",_xlfn.IFS(Inventory[[#This Row],[Available_Stock]]=0,"Out of Stock",Inventory[[#This Row],[Available_Stock]]&lt;Inventory[[#This Row],[Reorder_Level]],"Low Stock",Inventory[[#This Row],[Available_Stock]]&gt;=Inventory[[#This Row],[Reorder_Level]],"Available_Stock"))</f>
        <v/>
      </c>
      <c r="P32"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3" spans="6:16" x14ac:dyDescent="0.3">
      <c r="F33" s="8" t="str">
        <f>IF(ISBLANK(Inventory[[#This Row],[Invent ID]]),"",SUMIF(Table3[ProductID],Inventory[[#This Row],[Invent ID]],Table3[Purchase]))</f>
        <v/>
      </c>
      <c r="G33" s="8" t="str">
        <f>IF(ISBLANK(Inventory[[#This Row],[Invent ID]]),"",SUMIF(Table4[Sales ID],Inventory[[#This Row],[Invent ID]],Table4[Unit_sold]))</f>
        <v/>
      </c>
      <c r="H33" s="8" t="str">
        <f>IF(ISBLANK(Inventory[[#This Row],[Invent ID]]),"",Inventory[[#This Row],[Purchase]]-Inventory[[#This Row],[Sales]])</f>
        <v/>
      </c>
      <c r="J33" s="9" t="str">
        <f>IF(ISBLANK(Inventory[[#This Row],[Invent ID]]),"",AVERAGEIF(Table3[ProductID],Inventory[[#This Row],[Invent ID]],Table3[Unit_cost]))</f>
        <v/>
      </c>
      <c r="K33" s="9"/>
      <c r="L33" s="9" t="str">
        <f>IFERROR(Inventory[[#This Row],[Unit_Price]]-Inventory[[#This Row],[Unit_Cost]],"")</f>
        <v/>
      </c>
      <c r="M33" s="9" t="str">
        <f>IFERROR(Inventory[[#This Row],[Available_Stock]]*Inventory[[#This Row],[Profit]],"")</f>
        <v/>
      </c>
      <c r="N33" s="9" t="str">
        <f>IFERROR(Inventory[[#This Row],[Unit_Price]]*Inventory[[#This Row],[Available_Stock]],"")</f>
        <v/>
      </c>
      <c r="O33" s="3" t="str" cm="1">
        <f t="array" ref="O33">IF(ISBLANK(Inventory[[#This Row],[Invent ID]]),"",_xlfn.IFS(Inventory[[#This Row],[Available_Stock]]=0,"Out of Stock",Inventory[[#This Row],[Available_Stock]]&lt;Inventory[[#This Row],[Reorder_Level]],"Low Stock",Inventory[[#This Row],[Available_Stock]]&gt;=Inventory[[#This Row],[Reorder_Level]],"Available_Stock"))</f>
        <v/>
      </c>
      <c r="P33"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4" spans="6:16" x14ac:dyDescent="0.3">
      <c r="F34" s="8" t="str">
        <f>IF(ISBLANK(Inventory[[#This Row],[Invent ID]]),"",SUMIF(Table3[ProductID],Inventory[[#This Row],[Invent ID]],Table3[Purchase]))</f>
        <v/>
      </c>
      <c r="G34" s="8" t="str">
        <f>IF(ISBLANK(Inventory[[#This Row],[Invent ID]]),"",SUMIF(Table4[Sales ID],Inventory[[#This Row],[Invent ID]],Table4[Unit_sold]))</f>
        <v/>
      </c>
      <c r="H34" s="8" t="str">
        <f>IF(ISBLANK(Inventory[[#This Row],[Invent ID]]),"",Inventory[[#This Row],[Purchase]]-Inventory[[#This Row],[Sales]])</f>
        <v/>
      </c>
      <c r="J34" s="9" t="str">
        <f>IF(ISBLANK(Inventory[[#This Row],[Invent ID]]),"",AVERAGEIF(Table3[ProductID],Inventory[[#This Row],[Invent ID]],Table3[Unit_cost]))</f>
        <v/>
      </c>
      <c r="K34" s="9"/>
      <c r="L34" s="9" t="str">
        <f>IFERROR(Inventory[[#This Row],[Unit_Price]]-Inventory[[#This Row],[Unit_Cost]],"")</f>
        <v/>
      </c>
      <c r="M34" s="9" t="str">
        <f>IFERROR(Inventory[[#This Row],[Available_Stock]]*Inventory[[#This Row],[Profit]],"")</f>
        <v/>
      </c>
      <c r="N34" s="9" t="str">
        <f>IFERROR(Inventory[[#This Row],[Unit_Price]]*Inventory[[#This Row],[Available_Stock]],"")</f>
        <v/>
      </c>
      <c r="O34" s="3" t="str" cm="1">
        <f t="array" ref="O34">IF(ISBLANK(Inventory[[#This Row],[Invent ID]]),"",_xlfn.IFS(Inventory[[#This Row],[Available_Stock]]=0,"Out of Stock",Inventory[[#This Row],[Available_Stock]]&lt;Inventory[[#This Row],[Reorder_Level]],"Low Stock",Inventory[[#This Row],[Available_Stock]]&gt;=Inventory[[#This Row],[Reorder_Level]],"Available_Stock"))</f>
        <v/>
      </c>
      <c r="P34"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5" spans="6:16" x14ac:dyDescent="0.3">
      <c r="F35" s="8" t="str">
        <f>IF(ISBLANK(Inventory[[#This Row],[Invent ID]]),"",SUMIF(Table3[ProductID],Inventory[[#This Row],[Invent ID]],Table3[Purchase]))</f>
        <v/>
      </c>
      <c r="G35" s="8" t="str">
        <f>IF(ISBLANK(Inventory[[#This Row],[Invent ID]]),"",SUMIF(Table4[Sales ID],Inventory[[#This Row],[Invent ID]],Table4[Unit_sold]))</f>
        <v/>
      </c>
      <c r="H35" s="8" t="str">
        <f>IF(ISBLANK(Inventory[[#This Row],[Invent ID]]),"",Inventory[[#This Row],[Purchase]]-Inventory[[#This Row],[Sales]])</f>
        <v/>
      </c>
      <c r="J35" s="9" t="str">
        <f>IF(ISBLANK(Inventory[[#This Row],[Invent ID]]),"",AVERAGEIF(Table3[ProductID],Inventory[[#This Row],[Invent ID]],Table3[Unit_cost]))</f>
        <v/>
      </c>
      <c r="K35" s="9"/>
      <c r="L35" s="9" t="str">
        <f>IFERROR(Inventory[[#This Row],[Unit_Price]]-Inventory[[#This Row],[Unit_Cost]],"")</f>
        <v/>
      </c>
      <c r="M35" s="9" t="str">
        <f>IFERROR(Inventory[[#This Row],[Available_Stock]]*Inventory[[#This Row],[Profit]],"")</f>
        <v/>
      </c>
      <c r="N35" s="9" t="str">
        <f>IFERROR(Inventory[[#This Row],[Unit_Price]]*Inventory[[#This Row],[Available_Stock]],"")</f>
        <v/>
      </c>
      <c r="O35" s="3" t="str" cm="1">
        <f t="array" ref="O35">IF(ISBLANK(Inventory[[#This Row],[Invent ID]]),"",_xlfn.IFS(Inventory[[#This Row],[Available_Stock]]=0,"Out of Stock",Inventory[[#This Row],[Available_Stock]]&lt;Inventory[[#This Row],[Reorder_Level]],"Low Stock",Inventory[[#This Row],[Available_Stock]]&gt;=Inventory[[#This Row],[Reorder_Level]],"Available_Stock"))</f>
        <v/>
      </c>
      <c r="P35"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6" spans="6:16" x14ac:dyDescent="0.3">
      <c r="F36" s="8" t="str">
        <f>IF(ISBLANK(Inventory[[#This Row],[Invent ID]]),"",SUMIF(Table3[ProductID],Inventory[[#This Row],[Invent ID]],Table3[Purchase]))</f>
        <v/>
      </c>
      <c r="G36" s="8" t="str">
        <f>IF(ISBLANK(Inventory[[#This Row],[Invent ID]]),"",SUMIF(Table4[Sales ID],Inventory[[#This Row],[Invent ID]],Table4[Unit_sold]))</f>
        <v/>
      </c>
      <c r="H36" s="8" t="str">
        <f>IF(ISBLANK(Inventory[[#This Row],[Invent ID]]),"",Inventory[[#This Row],[Purchase]]-Inventory[[#This Row],[Sales]])</f>
        <v/>
      </c>
      <c r="J36" s="9" t="str">
        <f>IF(ISBLANK(Inventory[[#This Row],[Invent ID]]),"",AVERAGEIF(Table3[ProductID],Inventory[[#This Row],[Invent ID]],Table3[Unit_cost]))</f>
        <v/>
      </c>
      <c r="K36" s="9"/>
      <c r="L36" s="9" t="str">
        <f>IFERROR(Inventory[[#This Row],[Unit_Price]]-Inventory[[#This Row],[Unit_Cost]],"")</f>
        <v/>
      </c>
      <c r="M36" s="9" t="str">
        <f>IFERROR(Inventory[[#This Row],[Available_Stock]]*Inventory[[#This Row],[Profit]],"")</f>
        <v/>
      </c>
      <c r="N36" s="9" t="str">
        <f>IFERROR(Inventory[[#This Row],[Unit_Price]]*Inventory[[#This Row],[Available_Stock]],"")</f>
        <v/>
      </c>
      <c r="O36" s="3" t="str" cm="1">
        <f t="array" ref="O36">IF(ISBLANK(Inventory[[#This Row],[Invent ID]]),"",_xlfn.IFS(Inventory[[#This Row],[Available_Stock]]=0,"Out of Stock",Inventory[[#This Row],[Available_Stock]]&lt;Inventory[[#This Row],[Reorder_Level]],"Low Stock",Inventory[[#This Row],[Available_Stock]]&gt;=Inventory[[#This Row],[Reorder_Level]],"Available_Stock"))</f>
        <v/>
      </c>
      <c r="P36"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7" spans="6:16" x14ac:dyDescent="0.3">
      <c r="F37" s="8" t="str">
        <f>IF(ISBLANK(Inventory[[#This Row],[Invent ID]]),"",SUMIF(Table3[ProductID],Inventory[[#This Row],[Invent ID]],Table3[Purchase]))</f>
        <v/>
      </c>
      <c r="G37" s="8" t="str">
        <f>IF(ISBLANK(Inventory[[#This Row],[Invent ID]]),"",SUMIF(Table4[Sales ID],Inventory[[#This Row],[Invent ID]],Table4[Unit_sold]))</f>
        <v/>
      </c>
      <c r="H37" s="8" t="str">
        <f>IF(ISBLANK(Inventory[[#This Row],[Invent ID]]),"",Inventory[[#This Row],[Purchase]]-Inventory[[#This Row],[Sales]])</f>
        <v/>
      </c>
      <c r="J37" s="9" t="str">
        <f>IF(ISBLANK(Inventory[[#This Row],[Invent ID]]),"",AVERAGEIF(Table3[ProductID],Inventory[[#This Row],[Invent ID]],Table3[Unit_cost]))</f>
        <v/>
      </c>
      <c r="K37" s="9"/>
      <c r="L37" s="9" t="str">
        <f>IFERROR(Inventory[[#This Row],[Unit_Price]]-Inventory[[#This Row],[Unit_Cost]],"")</f>
        <v/>
      </c>
      <c r="M37" s="9" t="str">
        <f>IFERROR(Inventory[[#This Row],[Available_Stock]]*Inventory[[#This Row],[Profit]],"")</f>
        <v/>
      </c>
      <c r="N37" s="9" t="str">
        <f>IFERROR(Inventory[[#This Row],[Unit_Price]]*Inventory[[#This Row],[Available_Stock]],"")</f>
        <v/>
      </c>
      <c r="O37" s="3" t="str" cm="1">
        <f t="array" ref="O37">IF(ISBLANK(Inventory[[#This Row],[Invent ID]]),"",_xlfn.IFS(Inventory[[#This Row],[Available_Stock]]=0,"Out of Stock",Inventory[[#This Row],[Available_Stock]]&lt;Inventory[[#This Row],[Reorder_Level]],"Low Stock",Inventory[[#This Row],[Available_Stock]]&gt;=Inventory[[#This Row],[Reorder_Level]],"Available_Stock"))</f>
        <v/>
      </c>
      <c r="P37"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8" spans="6:16" x14ac:dyDescent="0.3">
      <c r="F38" s="8" t="str">
        <f>IF(ISBLANK(Inventory[[#This Row],[Invent ID]]),"",SUMIF(Table3[ProductID],Inventory[[#This Row],[Invent ID]],Table3[Purchase]))</f>
        <v/>
      </c>
      <c r="G38" s="8" t="str">
        <f>IF(ISBLANK(Inventory[[#This Row],[Invent ID]]),"",SUMIF(Table4[Sales ID],Inventory[[#This Row],[Invent ID]],Table4[Unit_sold]))</f>
        <v/>
      </c>
      <c r="H38" s="8" t="str">
        <f>IF(ISBLANK(Inventory[[#This Row],[Invent ID]]),"",Inventory[[#This Row],[Purchase]]-Inventory[[#This Row],[Sales]])</f>
        <v/>
      </c>
      <c r="J38" s="9" t="str">
        <f>IF(ISBLANK(Inventory[[#This Row],[Invent ID]]),"",AVERAGEIF(Table3[ProductID],Inventory[[#This Row],[Invent ID]],Table3[Unit_cost]))</f>
        <v/>
      </c>
      <c r="K38" s="9"/>
      <c r="L38" s="9" t="str">
        <f>IFERROR(Inventory[[#This Row],[Unit_Price]]-Inventory[[#This Row],[Unit_Cost]],"")</f>
        <v/>
      </c>
      <c r="M38" s="9" t="str">
        <f>IFERROR(Inventory[[#This Row],[Available_Stock]]*Inventory[[#This Row],[Profit]],"")</f>
        <v/>
      </c>
      <c r="N38" s="9" t="str">
        <f>IFERROR(Inventory[[#This Row],[Unit_Price]]*Inventory[[#This Row],[Available_Stock]],"")</f>
        <v/>
      </c>
      <c r="O38" s="3" t="str" cm="1">
        <f t="array" ref="O38">IF(ISBLANK(Inventory[[#This Row],[Invent ID]]),"",_xlfn.IFS(Inventory[[#This Row],[Available_Stock]]=0,"Out of Stock",Inventory[[#This Row],[Available_Stock]]&lt;Inventory[[#This Row],[Reorder_Level]],"Low Stock",Inventory[[#This Row],[Available_Stock]]&gt;=Inventory[[#This Row],[Reorder_Level]],"Available_Stock"))</f>
        <v/>
      </c>
      <c r="P38"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39" spans="6:16" x14ac:dyDescent="0.3">
      <c r="F39" s="8" t="str">
        <f>IF(ISBLANK(Inventory[[#This Row],[Invent ID]]),"",SUMIF(Table3[ProductID],Inventory[[#This Row],[Invent ID]],Table3[Purchase]))</f>
        <v/>
      </c>
      <c r="G39" s="8" t="str">
        <f>IF(ISBLANK(Inventory[[#This Row],[Invent ID]]),"",SUMIF(Table4[Sales ID],Inventory[[#This Row],[Invent ID]],Table4[Unit_sold]))</f>
        <v/>
      </c>
      <c r="H39" s="8" t="str">
        <f>IF(ISBLANK(Inventory[[#This Row],[Invent ID]]),"",Inventory[[#This Row],[Purchase]]-Inventory[[#This Row],[Sales]])</f>
        <v/>
      </c>
      <c r="J39" s="9" t="str">
        <f>IF(ISBLANK(Inventory[[#This Row],[Invent ID]]),"",AVERAGEIF(Table3[ProductID],Inventory[[#This Row],[Invent ID]],Table3[Unit_cost]))</f>
        <v/>
      </c>
      <c r="K39" s="9"/>
      <c r="L39" s="9" t="str">
        <f>IFERROR(Inventory[[#This Row],[Unit_Price]]-Inventory[[#This Row],[Unit_Cost]],"")</f>
        <v/>
      </c>
      <c r="M39" s="9" t="str">
        <f>IFERROR(Inventory[[#This Row],[Available_Stock]]*Inventory[[#This Row],[Profit]],"")</f>
        <v/>
      </c>
      <c r="N39" s="9" t="str">
        <f>IFERROR(Inventory[[#This Row],[Unit_Price]]*Inventory[[#This Row],[Available_Stock]],"")</f>
        <v/>
      </c>
      <c r="O39" s="3" t="str" cm="1">
        <f t="array" ref="O39">IF(ISBLANK(Inventory[[#This Row],[Invent ID]]),"",_xlfn.IFS(Inventory[[#This Row],[Available_Stock]]=0,"Out of Stock",Inventory[[#This Row],[Available_Stock]]&lt;Inventory[[#This Row],[Reorder_Level]],"Low Stock",Inventory[[#This Row],[Available_Stock]]&gt;=Inventory[[#This Row],[Reorder_Level]],"Available_Stock"))</f>
        <v/>
      </c>
      <c r="P39"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0" spans="6:16" x14ac:dyDescent="0.3">
      <c r="F40" s="8" t="str">
        <f>IF(ISBLANK(Inventory[[#This Row],[Invent ID]]),"",SUMIF(Table3[ProductID],Inventory[[#This Row],[Invent ID]],Table3[Purchase]))</f>
        <v/>
      </c>
      <c r="G40" s="8" t="str">
        <f>IF(ISBLANK(Inventory[[#This Row],[Invent ID]]),"",SUMIF(Table4[Sales ID],Inventory[[#This Row],[Invent ID]],Table4[Unit_sold]))</f>
        <v/>
      </c>
      <c r="H40" s="8" t="str">
        <f>IF(ISBLANK(Inventory[[#This Row],[Invent ID]]),"",Inventory[[#This Row],[Purchase]]-Inventory[[#This Row],[Sales]])</f>
        <v/>
      </c>
      <c r="J40" s="9" t="str">
        <f>IF(ISBLANK(Inventory[[#This Row],[Invent ID]]),"",AVERAGEIF(Table3[ProductID],Inventory[[#This Row],[Invent ID]],Table3[Unit_cost]))</f>
        <v/>
      </c>
      <c r="K40" s="9"/>
      <c r="L40" s="9" t="str">
        <f>IFERROR(Inventory[[#This Row],[Unit_Price]]-Inventory[[#This Row],[Unit_Cost]],"")</f>
        <v/>
      </c>
      <c r="M40" s="9" t="str">
        <f>IFERROR(Inventory[[#This Row],[Available_Stock]]*Inventory[[#This Row],[Profit]],"")</f>
        <v/>
      </c>
      <c r="N40" s="9" t="str">
        <f>IFERROR(Inventory[[#This Row],[Unit_Price]]*Inventory[[#This Row],[Available_Stock]],"")</f>
        <v/>
      </c>
      <c r="O40" s="3" t="str" cm="1">
        <f t="array" ref="O40">IF(ISBLANK(Inventory[[#This Row],[Invent ID]]),"",_xlfn.IFS(Inventory[[#This Row],[Available_Stock]]=0,"Out of Stock",Inventory[[#This Row],[Available_Stock]]&lt;Inventory[[#This Row],[Reorder_Level]],"Low Stock",Inventory[[#This Row],[Available_Stock]]&gt;=Inventory[[#This Row],[Reorder_Level]],"Available_Stock"))</f>
        <v/>
      </c>
      <c r="P40"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1" spans="6:16" x14ac:dyDescent="0.3">
      <c r="F41" s="8" t="str">
        <f>IF(ISBLANK(Inventory[[#This Row],[Invent ID]]),"",SUMIF(Table3[ProductID],Inventory[[#This Row],[Invent ID]],Table3[Purchase]))</f>
        <v/>
      </c>
      <c r="G41" s="8" t="str">
        <f>IF(ISBLANK(Inventory[[#This Row],[Invent ID]]),"",SUMIF(Table4[Sales ID],Inventory[[#This Row],[Invent ID]],Table4[Unit_sold]))</f>
        <v/>
      </c>
      <c r="H41" s="8" t="str">
        <f>IF(ISBLANK(Inventory[[#This Row],[Invent ID]]),"",Inventory[[#This Row],[Purchase]]-Inventory[[#This Row],[Sales]])</f>
        <v/>
      </c>
      <c r="J41" s="9" t="str">
        <f>IF(ISBLANK(Inventory[[#This Row],[Invent ID]]),"",AVERAGEIF(Table3[ProductID],Inventory[[#This Row],[Invent ID]],Table3[Unit_cost]))</f>
        <v/>
      </c>
      <c r="K41" s="9"/>
      <c r="L41" s="9" t="str">
        <f>IFERROR(Inventory[[#This Row],[Unit_Price]]-Inventory[[#This Row],[Unit_Cost]],"")</f>
        <v/>
      </c>
      <c r="M41" s="9" t="str">
        <f>IFERROR(Inventory[[#This Row],[Available_Stock]]*Inventory[[#This Row],[Profit]],"")</f>
        <v/>
      </c>
      <c r="N41" s="9" t="str">
        <f>IFERROR(Inventory[[#This Row],[Unit_Price]]*Inventory[[#This Row],[Available_Stock]],"")</f>
        <v/>
      </c>
      <c r="O41" s="3" t="str" cm="1">
        <f t="array" ref="O41">IF(ISBLANK(Inventory[[#This Row],[Invent ID]]),"",_xlfn.IFS(Inventory[[#This Row],[Available_Stock]]=0,"Out of Stock",Inventory[[#This Row],[Available_Stock]]&lt;Inventory[[#This Row],[Reorder_Level]],"Low Stock",Inventory[[#This Row],[Available_Stock]]&gt;=Inventory[[#This Row],[Reorder_Level]],"Available_Stock"))</f>
        <v/>
      </c>
      <c r="P41"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2" spans="6:16" x14ac:dyDescent="0.3">
      <c r="F42" s="8" t="str">
        <f>IF(ISBLANK(Inventory[[#This Row],[Invent ID]]),"",SUMIF(Table3[ProductID],Inventory[[#This Row],[Invent ID]],Table3[Purchase]))</f>
        <v/>
      </c>
      <c r="G42" s="8" t="str">
        <f>IF(ISBLANK(Inventory[[#This Row],[Invent ID]]),"",SUMIF(Table4[Sales ID],Inventory[[#This Row],[Invent ID]],Table4[Unit_sold]))</f>
        <v/>
      </c>
      <c r="H42" s="8" t="str">
        <f>IF(ISBLANK(Inventory[[#This Row],[Invent ID]]),"",Inventory[[#This Row],[Purchase]]-Inventory[[#This Row],[Sales]])</f>
        <v/>
      </c>
      <c r="J42" s="9" t="str">
        <f>IF(ISBLANK(Inventory[[#This Row],[Invent ID]]),"",AVERAGEIF(Table3[ProductID],Inventory[[#This Row],[Invent ID]],Table3[Unit_cost]))</f>
        <v/>
      </c>
      <c r="K42" s="9"/>
      <c r="L42" s="9" t="str">
        <f>IFERROR(Inventory[[#This Row],[Unit_Price]]-Inventory[[#This Row],[Unit_Cost]],"")</f>
        <v/>
      </c>
      <c r="M42" s="9" t="str">
        <f>IFERROR(Inventory[[#This Row],[Available_Stock]]*Inventory[[#This Row],[Profit]],"")</f>
        <v/>
      </c>
      <c r="N42" s="9" t="str">
        <f>IFERROR(Inventory[[#This Row],[Unit_Price]]*Inventory[[#This Row],[Available_Stock]],"")</f>
        <v/>
      </c>
      <c r="O42" s="3" t="str" cm="1">
        <f t="array" ref="O42">IF(ISBLANK(Inventory[[#This Row],[Invent ID]]),"",_xlfn.IFS(Inventory[[#This Row],[Available_Stock]]=0,"Out of Stock",Inventory[[#This Row],[Available_Stock]]&lt;Inventory[[#This Row],[Reorder_Level]],"Low Stock",Inventory[[#This Row],[Available_Stock]]&gt;=Inventory[[#This Row],[Reorder_Level]],"Available_Stock"))</f>
        <v/>
      </c>
      <c r="P42"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3" spans="6:16" x14ac:dyDescent="0.3">
      <c r="F43" s="8" t="str">
        <f>IF(ISBLANK(Inventory[[#This Row],[Invent ID]]),"",SUMIF(Table3[ProductID],Inventory[[#This Row],[Invent ID]],Table3[Purchase]))</f>
        <v/>
      </c>
      <c r="G43" s="8" t="str">
        <f>IF(ISBLANK(Inventory[[#This Row],[Invent ID]]),"",SUMIF(Table4[Sales ID],Inventory[[#This Row],[Invent ID]],Table4[Unit_sold]))</f>
        <v/>
      </c>
      <c r="H43" s="8" t="str">
        <f>IF(ISBLANK(Inventory[[#This Row],[Invent ID]]),"",Inventory[[#This Row],[Purchase]]-Inventory[[#This Row],[Sales]])</f>
        <v/>
      </c>
      <c r="J43" s="9" t="str">
        <f>IF(ISBLANK(Inventory[[#This Row],[Invent ID]]),"",AVERAGEIF(Table3[ProductID],Inventory[[#This Row],[Invent ID]],Table3[Unit_cost]))</f>
        <v/>
      </c>
      <c r="K43" s="9"/>
      <c r="L43" s="9" t="str">
        <f>IFERROR(Inventory[[#This Row],[Unit_Price]]-Inventory[[#This Row],[Unit_Cost]],"")</f>
        <v/>
      </c>
      <c r="M43" s="9" t="str">
        <f>IFERROR(Inventory[[#This Row],[Available_Stock]]*Inventory[[#This Row],[Profit]],"")</f>
        <v/>
      </c>
      <c r="N43" s="9" t="str">
        <f>IFERROR(Inventory[[#This Row],[Unit_Price]]*Inventory[[#This Row],[Available_Stock]],"")</f>
        <v/>
      </c>
      <c r="O43" s="3" t="str" cm="1">
        <f t="array" ref="O43">IF(ISBLANK(Inventory[[#This Row],[Invent ID]]),"",_xlfn.IFS(Inventory[[#This Row],[Available_Stock]]=0,"Out of Stock",Inventory[[#This Row],[Available_Stock]]&lt;Inventory[[#This Row],[Reorder_Level]],"Low Stock",Inventory[[#This Row],[Available_Stock]]&gt;=Inventory[[#This Row],[Reorder_Level]],"Available_Stock"))</f>
        <v/>
      </c>
      <c r="P43"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4" spans="6:16" x14ac:dyDescent="0.3">
      <c r="F44" s="8" t="str">
        <f>IF(ISBLANK(Inventory[[#This Row],[Invent ID]]),"",SUMIF(Table3[ProductID],Inventory[[#This Row],[Invent ID]],Table3[Purchase]))</f>
        <v/>
      </c>
      <c r="G44" s="8" t="str">
        <f>IF(ISBLANK(Inventory[[#This Row],[Invent ID]]),"",SUMIF(Table4[Sales ID],Inventory[[#This Row],[Invent ID]],Table4[Unit_sold]))</f>
        <v/>
      </c>
      <c r="H44" s="8" t="str">
        <f>IF(ISBLANK(Inventory[[#This Row],[Invent ID]]),"",Inventory[[#This Row],[Purchase]]-Inventory[[#This Row],[Sales]])</f>
        <v/>
      </c>
      <c r="J44" s="9" t="str">
        <f>IF(ISBLANK(Inventory[[#This Row],[Invent ID]]),"",AVERAGEIF(Table3[ProductID],Inventory[[#This Row],[Invent ID]],Table3[Unit_cost]))</f>
        <v/>
      </c>
      <c r="K44" s="9"/>
      <c r="L44" s="9" t="str">
        <f>IFERROR(Inventory[[#This Row],[Unit_Price]]-Inventory[[#This Row],[Unit_Cost]],"")</f>
        <v/>
      </c>
      <c r="M44" s="9" t="str">
        <f>IFERROR(Inventory[[#This Row],[Available_Stock]]*Inventory[[#This Row],[Profit]],"")</f>
        <v/>
      </c>
      <c r="N44" s="9" t="str">
        <f>IFERROR(Inventory[[#This Row],[Unit_Price]]*Inventory[[#This Row],[Available_Stock]],"")</f>
        <v/>
      </c>
      <c r="O44" s="3" t="str" cm="1">
        <f t="array" ref="O44">IF(ISBLANK(Inventory[[#This Row],[Invent ID]]),"",_xlfn.IFS(Inventory[[#This Row],[Available_Stock]]=0,"Out of Stock",Inventory[[#This Row],[Available_Stock]]&lt;Inventory[[#This Row],[Reorder_Level]],"Low Stock",Inventory[[#This Row],[Available_Stock]]&gt;=Inventory[[#This Row],[Reorder_Level]],"Available_Stock"))</f>
        <v/>
      </c>
      <c r="P44"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5" spans="6:16" x14ac:dyDescent="0.3">
      <c r="F45" s="8" t="str">
        <f>IF(ISBLANK(Inventory[[#This Row],[Invent ID]]),"",SUMIF(Table3[ProductID],Inventory[[#This Row],[Invent ID]],Table3[Purchase]))</f>
        <v/>
      </c>
      <c r="G45" s="8" t="str">
        <f>IF(ISBLANK(Inventory[[#This Row],[Invent ID]]),"",SUMIF(Table4[Sales ID],Inventory[[#This Row],[Invent ID]],Table4[Unit_sold]))</f>
        <v/>
      </c>
      <c r="H45" s="8" t="str">
        <f>IF(ISBLANK(Inventory[[#This Row],[Invent ID]]),"",Inventory[[#This Row],[Purchase]]-Inventory[[#This Row],[Sales]])</f>
        <v/>
      </c>
      <c r="J45" s="9" t="str">
        <f>IF(ISBLANK(Inventory[[#This Row],[Invent ID]]),"",AVERAGEIF(Table3[ProductID],Inventory[[#This Row],[Invent ID]],Table3[Unit_cost]))</f>
        <v/>
      </c>
      <c r="K45" s="9"/>
      <c r="L45" s="9" t="str">
        <f>IFERROR(Inventory[[#This Row],[Unit_Price]]-Inventory[[#This Row],[Unit_Cost]],"")</f>
        <v/>
      </c>
      <c r="M45" s="9" t="str">
        <f>IFERROR(Inventory[[#This Row],[Available_Stock]]*Inventory[[#This Row],[Profit]],"")</f>
        <v/>
      </c>
      <c r="N45" s="9" t="str">
        <f>IFERROR(Inventory[[#This Row],[Unit_Price]]*Inventory[[#This Row],[Available_Stock]],"")</f>
        <v/>
      </c>
      <c r="O45" s="3" t="str" cm="1">
        <f t="array" ref="O45">IF(ISBLANK(Inventory[[#This Row],[Invent ID]]),"",_xlfn.IFS(Inventory[[#This Row],[Available_Stock]]=0,"Out of Stock",Inventory[[#This Row],[Available_Stock]]&lt;Inventory[[#This Row],[Reorder_Level]],"Low Stock",Inventory[[#This Row],[Available_Stock]]&gt;=Inventory[[#This Row],[Reorder_Level]],"Available_Stock"))</f>
        <v/>
      </c>
      <c r="P45"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6" spans="6:16" x14ac:dyDescent="0.3">
      <c r="F46" s="8" t="str">
        <f>IF(ISBLANK(Inventory[[#This Row],[Invent ID]]),"",SUMIF(Table3[ProductID],Inventory[[#This Row],[Invent ID]],Table3[Purchase]))</f>
        <v/>
      </c>
      <c r="G46" s="8" t="str">
        <f>IF(ISBLANK(Inventory[[#This Row],[Invent ID]]),"",SUMIF(Table4[Sales ID],Inventory[[#This Row],[Invent ID]],Table4[Unit_sold]))</f>
        <v/>
      </c>
      <c r="H46" s="8" t="str">
        <f>IF(ISBLANK(Inventory[[#This Row],[Invent ID]]),"",Inventory[[#This Row],[Purchase]]-Inventory[[#This Row],[Sales]])</f>
        <v/>
      </c>
      <c r="J46" s="9" t="str">
        <f>IF(ISBLANK(Inventory[[#This Row],[Invent ID]]),"",AVERAGEIF(Table3[ProductID],Inventory[[#This Row],[Invent ID]],Table3[Unit_cost]))</f>
        <v/>
      </c>
      <c r="K46" s="9"/>
      <c r="L46" s="9" t="str">
        <f>IFERROR(Inventory[[#This Row],[Unit_Price]]-Inventory[[#This Row],[Unit_Cost]],"")</f>
        <v/>
      </c>
      <c r="M46" s="9" t="str">
        <f>IFERROR(Inventory[[#This Row],[Available_Stock]]*Inventory[[#This Row],[Profit]],"")</f>
        <v/>
      </c>
      <c r="N46" s="9" t="str">
        <f>IFERROR(Inventory[[#This Row],[Unit_Price]]*Inventory[[#This Row],[Available_Stock]],"")</f>
        <v/>
      </c>
      <c r="O46" s="3" t="str" cm="1">
        <f t="array" ref="O46">IF(ISBLANK(Inventory[[#This Row],[Invent ID]]),"",_xlfn.IFS(Inventory[[#This Row],[Available_Stock]]=0,"Out of Stock",Inventory[[#This Row],[Available_Stock]]&lt;Inventory[[#This Row],[Reorder_Level]],"Low Stock",Inventory[[#This Row],[Available_Stock]]&gt;=Inventory[[#This Row],[Reorder_Level]],"Available_Stock"))</f>
        <v/>
      </c>
      <c r="P46"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7" spans="6:16" x14ac:dyDescent="0.3">
      <c r="F47" s="8" t="str">
        <f>IF(ISBLANK(Inventory[[#This Row],[Invent ID]]),"",SUMIF(Table3[ProductID],Inventory[[#This Row],[Invent ID]],Table3[Purchase]))</f>
        <v/>
      </c>
      <c r="G47" s="8" t="str">
        <f>IF(ISBLANK(Inventory[[#This Row],[Invent ID]]),"",SUMIF(Table4[Sales ID],Inventory[[#This Row],[Invent ID]],Table4[Unit_sold]))</f>
        <v/>
      </c>
      <c r="H47" s="8" t="str">
        <f>IF(ISBLANK(Inventory[[#This Row],[Invent ID]]),"",Inventory[[#This Row],[Purchase]]-Inventory[[#This Row],[Sales]])</f>
        <v/>
      </c>
      <c r="J47" s="9" t="str">
        <f>IF(ISBLANK(Inventory[[#This Row],[Invent ID]]),"",AVERAGEIF(Table3[ProductID],Inventory[[#This Row],[Invent ID]],Table3[Unit_cost]))</f>
        <v/>
      </c>
      <c r="K47" s="9"/>
      <c r="L47" s="9" t="str">
        <f>IFERROR(Inventory[[#This Row],[Unit_Price]]-Inventory[[#This Row],[Unit_Cost]],"")</f>
        <v/>
      </c>
      <c r="M47" s="9" t="str">
        <f>IFERROR(Inventory[[#This Row],[Available_Stock]]*Inventory[[#This Row],[Profit]],"")</f>
        <v/>
      </c>
      <c r="N47" s="9" t="str">
        <f>IFERROR(Inventory[[#This Row],[Unit_Price]]*Inventory[[#This Row],[Available_Stock]],"")</f>
        <v/>
      </c>
      <c r="O47" s="3" t="str" cm="1">
        <f t="array" ref="O47">IF(ISBLANK(Inventory[[#This Row],[Invent ID]]),"",_xlfn.IFS(Inventory[[#This Row],[Available_Stock]]=0,"Out of Stock",Inventory[[#This Row],[Available_Stock]]&lt;Inventory[[#This Row],[Reorder_Level]],"Low Stock",Inventory[[#This Row],[Available_Stock]]&gt;=Inventory[[#This Row],[Reorder_Level]],"Available_Stock"))</f>
        <v/>
      </c>
      <c r="P47"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8" spans="6:16" x14ac:dyDescent="0.3">
      <c r="F48" s="8" t="str">
        <f>IF(ISBLANK(Inventory[[#This Row],[Invent ID]]),"",SUMIF(Table3[ProductID],Inventory[[#This Row],[Invent ID]],Table3[Purchase]))</f>
        <v/>
      </c>
      <c r="G48" s="8" t="str">
        <f>IF(ISBLANK(Inventory[[#This Row],[Invent ID]]),"",SUMIF(Table4[Sales ID],Inventory[[#This Row],[Invent ID]],Table4[Unit_sold]))</f>
        <v/>
      </c>
      <c r="H48" s="8" t="str">
        <f>IF(ISBLANK(Inventory[[#This Row],[Invent ID]]),"",Inventory[[#This Row],[Purchase]]-Inventory[[#This Row],[Sales]])</f>
        <v/>
      </c>
      <c r="J48" s="9" t="str">
        <f>IF(ISBLANK(Inventory[[#This Row],[Invent ID]]),"",AVERAGEIF(Table3[ProductID],Inventory[[#This Row],[Invent ID]],Table3[Unit_cost]))</f>
        <v/>
      </c>
      <c r="K48" s="9"/>
      <c r="L48" s="9" t="str">
        <f>IFERROR(Inventory[[#This Row],[Unit_Price]]-Inventory[[#This Row],[Unit_Cost]],"")</f>
        <v/>
      </c>
      <c r="M48" s="9" t="str">
        <f>IFERROR(Inventory[[#This Row],[Available_Stock]]*Inventory[[#This Row],[Profit]],"")</f>
        <v/>
      </c>
      <c r="N48" s="9" t="str">
        <f>IFERROR(Inventory[[#This Row],[Unit_Price]]*Inventory[[#This Row],[Available_Stock]],"")</f>
        <v/>
      </c>
      <c r="O48" s="3" t="str" cm="1">
        <f t="array" ref="O48">IF(ISBLANK(Inventory[[#This Row],[Invent ID]]),"",_xlfn.IFS(Inventory[[#This Row],[Available_Stock]]=0,"Out of Stock",Inventory[[#This Row],[Available_Stock]]&lt;Inventory[[#This Row],[Reorder_Level]],"Low Stock",Inventory[[#This Row],[Available_Stock]]&gt;=Inventory[[#This Row],[Reorder_Level]],"Available_Stock"))</f>
        <v/>
      </c>
      <c r="P48"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row r="49" spans="6:16" x14ac:dyDescent="0.3">
      <c r="F49" s="8" t="str">
        <f>IF(ISBLANK(Inventory[[#This Row],[Invent ID]]),"",SUMIF(Table3[ProductID],Inventory[[#This Row],[Invent ID]],Table3[Purchase]))</f>
        <v/>
      </c>
      <c r="G49" s="8" t="str">
        <f>IF(ISBLANK(Inventory[[#This Row],[Invent ID]]),"",SUMIF(Table4[Sales ID],Inventory[[#This Row],[Invent ID]],Table4[Unit_sold]))</f>
        <v/>
      </c>
      <c r="H49" s="8" t="str">
        <f>IF(ISBLANK(Inventory[[#This Row],[Invent ID]]),"",Inventory[[#This Row],[Purchase]]-Inventory[[#This Row],[Sales]])</f>
        <v/>
      </c>
      <c r="J49" s="9" t="str">
        <f>IF(ISBLANK(Inventory[[#This Row],[Invent ID]]),"",AVERAGEIF(Table3[ProductID],Inventory[[#This Row],[Invent ID]],Table3[Unit_cost]))</f>
        <v/>
      </c>
      <c r="K49" s="9"/>
      <c r="L49" s="9" t="str">
        <f>IFERROR(Inventory[[#This Row],[Unit_Price]]-Inventory[[#This Row],[Unit_Cost]],"")</f>
        <v/>
      </c>
      <c r="M49" s="9" t="str">
        <f>IFERROR(Inventory[[#This Row],[Available_Stock]]*Inventory[[#This Row],[Profit]],"")</f>
        <v/>
      </c>
      <c r="N49" s="9" t="str">
        <f>IFERROR(Inventory[[#This Row],[Unit_Price]]*Inventory[[#This Row],[Available_Stock]],"")</f>
        <v/>
      </c>
      <c r="O49" s="3" t="str" cm="1">
        <f t="array" ref="O49">IF(ISBLANK(Inventory[[#This Row],[Invent ID]]),"",_xlfn.IFS(Inventory[[#This Row],[Available_Stock]]=0,"Out of Stock",Inventory[[#This Row],[Available_Stock]]&lt;Inventory[[#This Row],[Reorder_Level]],"Low Stock",Inventory[[#This Row],[Available_Stock]]&gt;=Inventory[[#This Row],[Reorder_Level]],"Available_Stock"))</f>
        <v/>
      </c>
      <c r="P49" s="6" t="str">
        <f>IF(Inventory[[#This Row],[Status]]="Out of Stock",
"📞 "&amp;Inventory[[#This Row],[Product_Name]]&amp;" is out of stock. "&amp;
_xlfn.XLOOKUP(Inventory[[#This Row],[Product_Name]],suppliers[Items_Supplied],suppliers[Client_Name],"No Suppliers")&amp;
": "&amp;
_xlfn.XLOOKUP(Inventory[[#This Row],[Product_Name]],suppliers[Items_Supplied],suppliers[Phone],"No Phone"),
"")</f>
        <v/>
      </c>
    </row>
  </sheetData>
  <phoneticPr fontId="1" type="noConversion"/>
  <conditionalFormatting sqref="O7:O49">
    <cfRule type="cellIs" dxfId="2" priority="1" operator="equal">
      <formula>"Low Stock"</formula>
    </cfRule>
    <cfRule type="cellIs" dxfId="1" priority="2" operator="equal">
      <formula>"Available_Stock"</formula>
    </cfRule>
    <cfRule type="cellIs" dxfId="0" priority="3" operator="equal">
      <formula>"Out of Stock"</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9F4EC-3541-43DE-ACA6-9A0D181D8994}">
  <dimension ref="B1:S34"/>
  <sheetViews>
    <sheetView workbookViewId="0"/>
  </sheetViews>
  <sheetFormatPr defaultRowHeight="14.4" x14ac:dyDescent="0.3"/>
  <cols>
    <col min="1" max="1" width="4.6640625" style="1" customWidth="1"/>
    <col min="2" max="2" width="26" style="2" customWidth="1"/>
    <col min="3" max="3" width="3.88671875" style="1" customWidth="1"/>
    <col min="4" max="4" width="13.77734375" style="3" bestFit="1" customWidth="1"/>
    <col min="5" max="5" width="22.6640625" style="3" bestFit="1" customWidth="1"/>
    <col min="6" max="6" width="15.21875" style="3" bestFit="1" customWidth="1"/>
    <col min="7" max="7" width="19.77734375" style="3" bestFit="1" customWidth="1"/>
    <col min="8" max="8" width="10.33203125" style="3" bestFit="1" customWidth="1"/>
    <col min="9" max="9" width="13.109375" style="3" bestFit="1" customWidth="1"/>
    <col min="10" max="10" width="18.88671875" style="3" bestFit="1" customWidth="1"/>
    <col min="11" max="11" width="13.21875" style="3" bestFit="1" customWidth="1"/>
    <col min="12" max="12" width="15" style="3" bestFit="1" customWidth="1"/>
    <col min="13" max="13" width="10.5546875" style="3" bestFit="1" customWidth="1"/>
    <col min="14" max="14" width="8.88671875" style="1"/>
    <col min="15" max="19" width="8.88671875" style="2"/>
    <col min="20" max="16384" width="8.88671875" style="1"/>
  </cols>
  <sheetData>
    <row r="1" spans="2:19" ht="22.2" customHeight="1" x14ac:dyDescent="0.3">
      <c r="B1" s="1"/>
    </row>
    <row r="6" spans="2:19" x14ac:dyDescent="0.3">
      <c r="D6" s="3" t="s">
        <v>0</v>
      </c>
      <c r="E6" s="3" t="s">
        <v>49</v>
      </c>
      <c r="F6" s="3" t="s">
        <v>50</v>
      </c>
      <c r="G6" s="3" t="s">
        <v>51</v>
      </c>
      <c r="H6" s="3" t="s">
        <v>52</v>
      </c>
      <c r="I6" s="3" t="s">
        <v>2</v>
      </c>
      <c r="J6" s="3" t="s">
        <v>4</v>
      </c>
      <c r="K6" s="8" t="s">
        <v>53</v>
      </c>
      <c r="L6" s="8" t="s">
        <v>9</v>
      </c>
      <c r="M6" s="8" t="s">
        <v>54</v>
      </c>
      <c r="P6" s="1"/>
      <c r="Q6" s="1"/>
      <c r="R6" s="1"/>
      <c r="S6" s="1"/>
    </row>
    <row r="7" spans="2:19" x14ac:dyDescent="0.3">
      <c r="D7" s="3" t="s">
        <v>11</v>
      </c>
      <c r="E7" s="8" t="str">
        <f>IF(ISBLANK(Table3[[#This Row],[ProductID]]),"",_xlfn.XLOOKUP(Table3[[#This Row],[ProductID]],Inventory[Invent ID],Inventory[Product_Name]))</f>
        <v xml:space="preserve"> Pantry</v>
      </c>
      <c r="F7" s="3" t="s">
        <v>163</v>
      </c>
      <c r="G7" s="8" t="str">
        <f>IF(ISBLANK(Table3[[#This Row],[SuppliersID]]),"",_xlfn.XLOOKUP(Table3[[#This Row],[SuppliersID]],suppliers[ProductID],suppliers[Client_Name]))</f>
        <v>PT Agro Raya</v>
      </c>
      <c r="H7" s="10">
        <v>45715</v>
      </c>
      <c r="I7" s="3">
        <v>154</v>
      </c>
      <c r="J7" s="3">
        <f>IF(ISBLANK(Table3[[#This Row],[ProductID]]),"",_xlfn.XLOOKUP(Table3[[#This Row],[ProductID]],Inventory[Invent ID],Inventory[Available_Stock]))</f>
        <v>55</v>
      </c>
      <c r="K7" s="9">
        <v>9.07</v>
      </c>
      <c r="L7" s="9">
        <f>IFERROR(Table3[[#This Row],[Purchase]]*Table3[[#This Row],[Unit_cost]],"")</f>
        <v>1396.78</v>
      </c>
      <c r="M7" s="8" t="str">
        <f>IF(ISBLANK(Table3[[#This Row],[ProductID]]),"",TEXT(Table3[[#This Row],[Date]],"mmm"))</f>
        <v>feb</v>
      </c>
      <c r="P7" s="1"/>
      <c r="Q7" s="1"/>
      <c r="R7" s="1"/>
      <c r="S7" s="1"/>
    </row>
    <row r="8" spans="2:19" x14ac:dyDescent="0.3">
      <c r="D8" s="3" t="s">
        <v>12</v>
      </c>
      <c r="E8" s="8" t="str">
        <f>IF(ISBLANK(Table3[[#This Row],[ProductID]]),"",_xlfn.XLOOKUP(Table3[[#This Row],[ProductID]],Inventory[Invent ID],Inventory[Product_Name]))</f>
        <v>Fresh Produce</v>
      </c>
      <c r="F8" s="3" t="s">
        <v>82</v>
      </c>
      <c r="G8" s="8" t="str">
        <f>IF(ISBLANK(Table3[[#This Row],[SuppliersID]]),"",_xlfn.XLOOKUP(Table3[[#This Row],[SuppliersID]],suppliers[ProductID],suppliers[Client_Name]))</f>
        <v>PT Nusantara Supplier</v>
      </c>
      <c r="H8" s="10">
        <v>45716</v>
      </c>
      <c r="I8" s="3">
        <v>178</v>
      </c>
      <c r="J8" s="3">
        <f>IF(ISBLANK(Table3[[#This Row],[ProductID]]),"",_xlfn.XLOOKUP(Table3[[#This Row],[ProductID]],Inventory[Invent ID],Inventory[Available_Stock]))</f>
        <v>22</v>
      </c>
      <c r="K8" s="9">
        <v>10.02</v>
      </c>
      <c r="L8" s="9">
        <f>IFERROR(Table3[[#This Row],[Purchase]]*Table3[[#This Row],[Unit_cost]],"")</f>
        <v>1783.56</v>
      </c>
      <c r="M8" s="8" t="str">
        <f>IF(ISBLANK(Table3[[#This Row],[ProductID]]),"",TEXT(Table3[[#This Row],[Date]],"mmm"))</f>
        <v>feb</v>
      </c>
      <c r="P8" s="1"/>
      <c r="Q8" s="1"/>
      <c r="R8" s="1"/>
      <c r="S8" s="1"/>
    </row>
    <row r="9" spans="2:19" x14ac:dyDescent="0.3">
      <c r="D9" s="3" t="s">
        <v>14</v>
      </c>
      <c r="E9" s="8" t="str">
        <f>IF(ISBLANK(Table3[[#This Row],[ProductID]]),"",_xlfn.XLOOKUP(Table3[[#This Row],[ProductID]],Inventory[Invent ID],Inventory[Product_Name]))</f>
        <v>House Cake</v>
      </c>
      <c r="F9" s="3" t="s">
        <v>87</v>
      </c>
      <c r="G9" s="8" t="str">
        <f>IF(ISBLANK(Table3[[#This Row],[SuppliersID]]),"",_xlfn.XLOOKUP(Table3[[#This Row],[SuppliersID]],suppliers[ProductID],suppliers[Client_Name]))</f>
        <v>PT Segar Makmur</v>
      </c>
      <c r="H9" s="10">
        <v>45717</v>
      </c>
      <c r="I9" s="3">
        <v>91</v>
      </c>
      <c r="J9" s="3">
        <f>IF(ISBLANK(Table3[[#This Row],[ProductID]]),"",_xlfn.XLOOKUP(Table3[[#This Row],[ProductID]],Inventory[Invent ID],Inventory[Available_Stock]))</f>
        <v>22</v>
      </c>
      <c r="K9" s="9">
        <v>5.99</v>
      </c>
      <c r="L9" s="9">
        <f>IFERROR(Table3[[#This Row],[Purchase]]*Table3[[#This Row],[Unit_cost]],"")</f>
        <v>545.09</v>
      </c>
      <c r="M9" s="8" t="str">
        <f>IF(ISBLANK(Table3[[#This Row],[ProductID]]),"",TEXT(Table3[[#This Row],[Date]],"mmm"))</f>
        <v>mar</v>
      </c>
      <c r="P9" s="1"/>
      <c r="Q9" s="1"/>
      <c r="R9" s="1"/>
      <c r="S9" s="1"/>
    </row>
    <row r="10" spans="2:19" x14ac:dyDescent="0.3">
      <c r="D10" s="3" t="s">
        <v>16</v>
      </c>
      <c r="E10" s="8" t="str">
        <f>IF(ISBLANK(Table3[[#This Row],[ProductID]]),"",_xlfn.XLOOKUP(Table3[[#This Row],[ProductID]],Inventory[Invent ID],Inventory[Product_Name]))</f>
        <v>Seafood</v>
      </c>
      <c r="F10" s="3" t="s">
        <v>92</v>
      </c>
      <c r="G10" s="8" t="str">
        <f>IF(ISBLANK(Table3[[#This Row],[SuppliersID]]),"",_xlfn.XLOOKUP(Table3[[#This Row],[SuppliersID]],suppliers[ProductID],suppliers[Client_Name]))</f>
        <v>PT Bakerindo</v>
      </c>
      <c r="H10" s="10">
        <v>45718</v>
      </c>
      <c r="I10" s="3">
        <v>300</v>
      </c>
      <c r="J10" s="3">
        <f>IF(ISBLANK(Table3[[#This Row],[ProductID]]),"",_xlfn.XLOOKUP(Table3[[#This Row],[ProductID]],Inventory[Invent ID],Inventory[Available_Stock]))</f>
        <v>25</v>
      </c>
      <c r="K10" s="9">
        <v>6.99</v>
      </c>
      <c r="L10" s="9">
        <f>IFERROR(Table3[[#This Row],[Purchase]]*Table3[[#This Row],[Unit_cost]],"")</f>
        <v>2097</v>
      </c>
      <c r="M10" s="8" t="str">
        <f>IF(ISBLANK(Table3[[#This Row],[ProductID]]),"",TEXT(Table3[[#This Row],[Date]],"mmm"))</f>
        <v>mar</v>
      </c>
      <c r="P10" s="1"/>
      <c r="Q10" s="1"/>
      <c r="R10" s="1"/>
      <c r="S10" s="1"/>
    </row>
    <row r="11" spans="2:19" x14ac:dyDescent="0.3">
      <c r="D11" s="3" t="s">
        <v>18</v>
      </c>
      <c r="E11" s="8" t="str">
        <f>IF(ISBLANK(Table3[[#This Row],[ProductID]]),"",_xlfn.XLOOKUP(Table3[[#This Row],[ProductID]],Inventory[Invent ID],Inventory[Product_Name]))</f>
        <v>Personal Care</v>
      </c>
      <c r="F11" s="3" t="s">
        <v>97</v>
      </c>
      <c r="G11" s="8" t="str">
        <f>IF(ISBLANK(Table3[[#This Row],[SuppliersID]]),"",_xlfn.XLOOKUP(Table3[[#This Row],[SuppliersID]],suppliers[ProductID],suppliers[Client_Name]))</f>
        <v>PT Indo Fresh</v>
      </c>
      <c r="H11" s="10">
        <v>45719</v>
      </c>
      <c r="I11" s="3">
        <v>97</v>
      </c>
      <c r="J11" s="3">
        <f>IF(ISBLANK(Table3[[#This Row],[ProductID]]),"",_xlfn.XLOOKUP(Table3[[#This Row],[ProductID]],Inventory[Invent ID],Inventory[Available_Stock]))</f>
        <v>69</v>
      </c>
      <c r="K11" s="9">
        <v>2.99</v>
      </c>
      <c r="L11" s="9">
        <f>IFERROR(Table3[[#This Row],[Purchase]]*Table3[[#This Row],[Unit_cost]],"")</f>
        <v>290.03000000000003</v>
      </c>
      <c r="M11" s="8" t="str">
        <f>IF(ISBLANK(Table3[[#This Row],[ProductID]]),"",TEXT(Table3[[#This Row],[Date]],"mmm"))</f>
        <v>mar</v>
      </c>
      <c r="P11" s="1"/>
      <c r="Q11" s="1"/>
      <c r="R11" s="1"/>
      <c r="S11" s="1"/>
    </row>
    <row r="12" spans="2:19" x14ac:dyDescent="0.3">
      <c r="D12" s="3" t="s">
        <v>20</v>
      </c>
      <c r="E12" s="8" t="str">
        <f>IF(ISBLANK(Table3[[#This Row],[ProductID]]),"",_xlfn.XLOOKUP(Table3[[#This Row],[ProductID]],Inventory[Invent ID],Inventory[Product_Name]))</f>
        <v>Beverages</v>
      </c>
      <c r="F12" s="3" t="s">
        <v>102</v>
      </c>
      <c r="G12" s="8" t="str">
        <f>IF(ISBLANK(Table3[[#This Row],[SuppliersID]]),"",_xlfn.XLOOKUP(Table3[[#This Row],[SuppliersID]],suppliers[ProductID],suppliers[Client_Name]))</f>
        <v>PT Nusantara Supplier</v>
      </c>
      <c r="H12" s="10">
        <v>45720</v>
      </c>
      <c r="I12" s="3">
        <v>50</v>
      </c>
      <c r="J12" s="3">
        <f>IF(ISBLANK(Table3[[#This Row],[ProductID]]),"",_xlfn.XLOOKUP(Table3[[#This Row],[ProductID]],Inventory[Invent ID],Inventory[Available_Stock]))</f>
        <v>65</v>
      </c>
      <c r="K12" s="9">
        <v>6.66</v>
      </c>
      <c r="L12" s="9">
        <f>IFERROR(Table3[[#This Row],[Purchase]]*Table3[[#This Row],[Unit_cost]],"")</f>
        <v>333</v>
      </c>
      <c r="M12" s="8" t="str">
        <f>IF(ISBLANK(Table3[[#This Row],[ProductID]]),"",TEXT(Table3[[#This Row],[Date]],"mmm"))</f>
        <v>mar</v>
      </c>
      <c r="P12" s="1"/>
      <c r="Q12" s="1"/>
      <c r="R12" s="1"/>
      <c r="S12" s="1"/>
    </row>
    <row r="13" spans="2:19" x14ac:dyDescent="0.3">
      <c r="D13" s="3" t="s">
        <v>22</v>
      </c>
      <c r="E13" s="8" t="str">
        <f>IF(ISBLANK(Table3[[#This Row],[ProductID]]),"",_xlfn.XLOOKUP(Table3[[#This Row],[ProductID]],Inventory[Invent ID],Inventory[Product_Name]))</f>
        <v>Dairy</v>
      </c>
      <c r="F13" s="3" t="s">
        <v>106</v>
      </c>
      <c r="G13" s="8" t="str">
        <f>IF(ISBLANK(Table3[[#This Row],[SuppliersID]]),"",_xlfn.XLOOKUP(Table3[[#This Row],[SuppliersID]],suppliers[ProductID],suppliers[Client_Name]))</f>
        <v>PT Indo Fresh</v>
      </c>
      <c r="H13" s="10">
        <v>45721</v>
      </c>
      <c r="I13" s="3">
        <v>175</v>
      </c>
      <c r="J13" s="3">
        <f>IF(ISBLANK(Table3[[#This Row],[ProductID]]),"",_xlfn.XLOOKUP(Table3[[#This Row],[ProductID]],Inventory[Invent ID],Inventory[Available_Stock]))</f>
        <v>119</v>
      </c>
      <c r="K13" s="9">
        <v>7.67</v>
      </c>
      <c r="L13" s="9">
        <f>IFERROR(Table3[[#This Row],[Purchase]]*Table3[[#This Row],[Unit_cost]],"")</f>
        <v>1342.25</v>
      </c>
      <c r="M13" s="8" t="str">
        <f>IF(ISBLANK(Table3[[#This Row],[ProductID]]),"",TEXT(Table3[[#This Row],[Date]],"mmm"))</f>
        <v>mar</v>
      </c>
      <c r="P13" s="1"/>
      <c r="Q13" s="1"/>
      <c r="R13" s="1"/>
      <c r="S13" s="1"/>
    </row>
    <row r="14" spans="2:19" x14ac:dyDescent="0.3">
      <c r="D14" s="3" t="s">
        <v>24</v>
      </c>
      <c r="E14" s="8" t="str">
        <f>IF(ISBLANK(Table3[[#This Row],[ProductID]]),"",_xlfn.XLOOKUP(Table3[[#This Row],[ProductID]],Inventory[Invent ID],Inventory[Product_Name]))</f>
        <v>Meat</v>
      </c>
      <c r="F14" s="3" t="s">
        <v>110</v>
      </c>
      <c r="G14" s="8" t="str">
        <f>IF(ISBLANK(Table3[[#This Row],[SuppliersID]]),"",_xlfn.XLOOKUP(Table3[[#This Row],[SuppliersID]],suppliers[ProductID],suppliers[Client_Name]))</f>
        <v>PT Beverage Nusantara</v>
      </c>
      <c r="H14" s="10">
        <v>45722</v>
      </c>
      <c r="I14" s="3">
        <v>54</v>
      </c>
      <c r="J14" s="3">
        <f>IF(ISBLANK(Table3[[#This Row],[ProductID]]),"",_xlfn.XLOOKUP(Table3[[#This Row],[ProductID]],Inventory[Invent ID],Inventory[Available_Stock]))</f>
        <v>23</v>
      </c>
      <c r="K14" s="9">
        <v>8.4</v>
      </c>
      <c r="L14" s="9">
        <f>IFERROR(Table3[[#This Row],[Purchase]]*Table3[[#This Row],[Unit_cost]],"")</f>
        <v>453.6</v>
      </c>
      <c r="M14" s="8" t="str">
        <f>IF(ISBLANK(Table3[[#This Row],[ProductID]]),"",TEXT(Table3[[#This Row],[Date]],"mmm"))</f>
        <v>mar</v>
      </c>
      <c r="P14" s="1"/>
      <c r="Q14" s="1"/>
      <c r="R14" s="1"/>
      <c r="S14" s="1"/>
    </row>
    <row r="15" spans="2:19" x14ac:dyDescent="0.3">
      <c r="D15" s="3" t="s">
        <v>25</v>
      </c>
      <c r="E15" s="8" t="str">
        <f>IF(ISBLANK(Table3[[#This Row],[ProductID]]),"",_xlfn.XLOOKUP(Table3[[#This Row],[ProductID]],Inventory[Invent ID],Inventory[Product_Name]))</f>
        <v>Fresh Wine</v>
      </c>
      <c r="F15" s="3" t="s">
        <v>115</v>
      </c>
      <c r="G15" s="8" t="str">
        <f>IF(ISBLANK(Table3[[#This Row],[SuppliersID]]),"",_xlfn.XLOOKUP(Table3[[#This Row],[SuppliersID]],suppliers[ProductID],suppliers[Client_Name]))</f>
        <v>PT DailyDairy</v>
      </c>
      <c r="H15" s="10">
        <v>45723</v>
      </c>
      <c r="I15" s="3">
        <v>149</v>
      </c>
      <c r="J15" s="3">
        <f>IF(ISBLANK(Table3[[#This Row],[ProductID]]),"",_xlfn.XLOOKUP(Table3[[#This Row],[ProductID]],Inventory[Invent ID],Inventory[Available_Stock]))</f>
        <v>0</v>
      </c>
      <c r="K15" s="9">
        <v>4.5999999999999996</v>
      </c>
      <c r="L15" s="9">
        <f>IFERROR(Table3[[#This Row],[Purchase]]*Table3[[#This Row],[Unit_cost]],"")</f>
        <v>685.4</v>
      </c>
      <c r="M15" s="8" t="str">
        <f>IF(ISBLANK(Table3[[#This Row],[ProductID]]),"",TEXT(Table3[[#This Row],[Date]],"mmm"))</f>
        <v>mar</v>
      </c>
      <c r="P15" s="1"/>
      <c r="Q15" s="1"/>
      <c r="R15" s="1"/>
      <c r="S15" s="1"/>
    </row>
    <row r="16" spans="2:19" x14ac:dyDescent="0.3">
      <c r="D16" s="3" t="s">
        <v>26</v>
      </c>
      <c r="E16" s="8" t="str">
        <f>IF(ISBLANK(Table3[[#This Row],[ProductID]]),"",_xlfn.XLOOKUP(Table3[[#This Row],[ProductID]],Inventory[Invent ID],Inventory[Product_Name]))</f>
        <v>Kitchen Hanger</v>
      </c>
      <c r="F16" s="3" t="s">
        <v>120</v>
      </c>
      <c r="G16" s="8" t="str">
        <f>IF(ISBLANK(Table3[[#This Row],[SuppliersID]]),"",_xlfn.XLOOKUP(Table3[[#This Row],[SuppliersID]],suppliers[ProductID],suppliers[Client_Name]))</f>
        <v>PT Beverage Nusantara</v>
      </c>
      <c r="H16" s="10">
        <v>45724</v>
      </c>
      <c r="I16" s="3">
        <v>160</v>
      </c>
      <c r="J16" s="3">
        <f>IF(ISBLANK(Table3[[#This Row],[ProductID]]),"",_xlfn.XLOOKUP(Table3[[#This Row],[ProductID]],Inventory[Invent ID],Inventory[Available_Stock]))</f>
        <v>20</v>
      </c>
      <c r="K16" s="9">
        <v>5.99</v>
      </c>
      <c r="L16" s="9">
        <f>IFERROR(Table3[[#This Row],[Purchase]]*Table3[[#This Row],[Unit_cost]],"")</f>
        <v>958.40000000000009</v>
      </c>
      <c r="M16" s="8" t="str">
        <f>IF(ISBLANK(Table3[[#This Row],[ProductID]]),"",TEXT(Table3[[#This Row],[Date]],"mmm"))</f>
        <v>mar</v>
      </c>
      <c r="P16" s="1"/>
      <c r="Q16" s="1"/>
      <c r="R16" s="1"/>
      <c r="S16" s="1"/>
    </row>
    <row r="17" spans="4:19" x14ac:dyDescent="0.3">
      <c r="D17" s="3" t="s">
        <v>27</v>
      </c>
      <c r="E17" s="8" t="str">
        <f>IF(ISBLANK(Table3[[#This Row],[ProductID]]),"",_xlfn.XLOOKUP(Table3[[#This Row],[ProductID]],Inventory[Invent ID],Inventory[Product_Name]))</f>
        <v>Waste Paper</v>
      </c>
      <c r="F17" s="3" t="s">
        <v>124</v>
      </c>
      <c r="G17" s="8" t="str">
        <f>IF(ISBLANK(Table3[[#This Row],[SuppliersID]]),"",_xlfn.XLOOKUP(Table3[[#This Row],[SuppliersID]],suppliers[ProductID],suppliers[Client_Name]))</f>
        <v>PT Indo Fresh</v>
      </c>
      <c r="H17" s="10">
        <v>45725</v>
      </c>
      <c r="I17" s="3">
        <v>156</v>
      </c>
      <c r="J17" s="3">
        <f>IF(ISBLANK(Table3[[#This Row],[ProductID]]),"",_xlfn.XLOOKUP(Table3[[#This Row],[ProductID]],Inventory[Invent ID],Inventory[Available_Stock]))</f>
        <v>161</v>
      </c>
      <c r="K17" s="9">
        <v>3.99</v>
      </c>
      <c r="L17" s="9">
        <f>IFERROR(Table3[[#This Row],[Purchase]]*Table3[[#This Row],[Unit_cost]],"")</f>
        <v>622.44000000000005</v>
      </c>
      <c r="M17" s="8" t="str">
        <f>IF(ISBLANK(Table3[[#This Row],[ProductID]]),"",TEXT(Table3[[#This Row],[Date]],"mmm"))</f>
        <v>mar</v>
      </c>
      <c r="P17" s="1"/>
      <c r="Q17" s="1"/>
      <c r="R17" s="1"/>
      <c r="S17" s="1"/>
    </row>
    <row r="18" spans="4:19" x14ac:dyDescent="0.3">
      <c r="D18" s="3" t="s">
        <v>28</v>
      </c>
      <c r="E18" s="8" t="str">
        <f>IF(ISBLANK(Table3[[#This Row],[ProductID]]),"",_xlfn.XLOOKUP(Table3[[#This Row],[ProductID]],Inventory[Invent ID],Inventory[Product_Name]))</f>
        <v>Beauty Care</v>
      </c>
      <c r="F18" s="3" t="s">
        <v>128</v>
      </c>
      <c r="G18" s="8" t="str">
        <f>IF(ISBLANK(Table3[[#This Row],[SuppliersID]]),"",_xlfn.XLOOKUP(Table3[[#This Row],[SuppliersID]],suppliers[ProductID],suppliers[Client_Name]))</f>
        <v>PT Agro Raya</v>
      </c>
      <c r="H18" s="10">
        <v>45748</v>
      </c>
      <c r="I18" s="3">
        <v>40</v>
      </c>
      <c r="J18" s="3">
        <f>IF(ISBLANK(Table3[[#This Row],[ProductID]]),"",_xlfn.XLOOKUP(Table3[[#This Row],[ProductID]],Inventory[Invent ID],Inventory[Available_Stock]))</f>
        <v>0</v>
      </c>
      <c r="K18" s="9">
        <v>9.06</v>
      </c>
      <c r="L18" s="9">
        <f>IFERROR(Table3[[#This Row],[Purchase]]*Table3[[#This Row],[Unit_cost]],"")</f>
        <v>362.40000000000003</v>
      </c>
      <c r="M18" s="8" t="str">
        <f>IF(ISBLANK(Table3[[#This Row],[ProductID]]),"",TEXT(Table3[[#This Row],[Date]],"mmm"))</f>
        <v>abr</v>
      </c>
      <c r="P18" s="1"/>
      <c r="Q18" s="1"/>
      <c r="R18" s="1"/>
      <c r="S18" s="1"/>
    </row>
    <row r="19" spans="4:19" x14ac:dyDescent="0.3">
      <c r="D19" s="3" t="s">
        <v>29</v>
      </c>
      <c r="E19" s="8" t="str">
        <f>IF(ISBLANK(Table3[[#This Row],[ProductID]]),"",_xlfn.XLOOKUP(Table3[[#This Row],[ProductID]],Inventory[Invent ID],Inventory[Product_Name]))</f>
        <v>Make-up Table</v>
      </c>
      <c r="F19" s="3" t="s">
        <v>133</v>
      </c>
      <c r="G19" s="8" t="str">
        <f>IF(ISBLANK(Table3[[#This Row],[SuppliersID]]),"",_xlfn.XLOOKUP(Table3[[#This Row],[SuppliersID]],suppliers[ProductID],suppliers[Client_Name]))</f>
        <v>PT Hygienic Supplies</v>
      </c>
      <c r="H19" s="10">
        <v>45750</v>
      </c>
      <c r="I19" s="3">
        <v>75</v>
      </c>
      <c r="J19" s="3">
        <f>IF(ISBLANK(Table3[[#This Row],[ProductID]]),"",_xlfn.XLOOKUP(Table3[[#This Row],[ProductID]],Inventory[Invent ID],Inventory[Available_Stock]))</f>
        <v>3</v>
      </c>
      <c r="K19" s="9">
        <v>6.45</v>
      </c>
      <c r="L19" s="9">
        <f>IFERROR(Table3[[#This Row],[Purchase]]*Table3[[#This Row],[Unit_cost]],"")</f>
        <v>483.75</v>
      </c>
      <c r="M19" s="8" t="str">
        <f>IF(ISBLANK(Table3[[#This Row],[ProductID]]),"",TEXT(Table3[[#This Row],[Date]],"mmm"))</f>
        <v>abr</v>
      </c>
      <c r="P19" s="1"/>
      <c r="Q19" s="1"/>
      <c r="R19" s="1"/>
      <c r="S19" s="1"/>
    </row>
    <row r="20" spans="4:19" x14ac:dyDescent="0.3">
      <c r="D20" s="3" t="s">
        <v>30</v>
      </c>
      <c r="E20" s="8" t="str">
        <f>IF(ISBLANK(Table3[[#This Row],[ProductID]]),"",_xlfn.XLOOKUP(Table3[[#This Row],[ProductID]],Inventory[Invent ID],Inventory[Product_Name]))</f>
        <v>Children's Table</v>
      </c>
      <c r="F20" s="3" t="s">
        <v>138</v>
      </c>
      <c r="G20" s="8" t="str">
        <f>IF(ISBLANK(Table3[[#This Row],[SuppliersID]]),"",_xlfn.XLOOKUP(Table3[[#This Row],[SuppliersID]],suppliers[ProductID],suppliers[Client_Name]))</f>
        <v>PT Nusantara Supplier</v>
      </c>
      <c r="H20" s="10">
        <v>45752</v>
      </c>
      <c r="I20" s="3">
        <v>149</v>
      </c>
      <c r="J20" s="3">
        <f>IF(ISBLANK(Table3[[#This Row],[ProductID]]),"",_xlfn.XLOOKUP(Table3[[#This Row],[ProductID]],Inventory[Invent ID],Inventory[Available_Stock]))</f>
        <v>88</v>
      </c>
      <c r="K20" s="9">
        <v>5.99</v>
      </c>
      <c r="L20" s="9">
        <f>IFERROR(Table3[[#This Row],[Purchase]]*Table3[[#This Row],[Unit_cost]],"")</f>
        <v>892.51</v>
      </c>
      <c r="M20" s="8" t="str">
        <f>IF(ISBLANK(Table3[[#This Row],[ProductID]]),"",TEXT(Table3[[#This Row],[Date]],"mmm"))</f>
        <v>abr</v>
      </c>
      <c r="P20" s="1"/>
      <c r="Q20" s="1"/>
      <c r="R20" s="1"/>
      <c r="S20" s="1"/>
    </row>
    <row r="21" spans="4:19" x14ac:dyDescent="0.3">
      <c r="D21" s="3" t="s">
        <v>31</v>
      </c>
      <c r="E21" s="8" t="str">
        <f>IF(ISBLANK(Table3[[#This Row],[ProductID]]),"",_xlfn.XLOOKUP(Table3[[#This Row],[ProductID]],Inventory[Invent ID],Inventory[Product_Name]))</f>
        <v>Apple Juice</v>
      </c>
      <c r="F21" s="3" t="s">
        <v>142</v>
      </c>
      <c r="G21" s="8" t="str">
        <f>IF(ISBLANK(Table3[[#This Row],[SuppliersID]]),"",_xlfn.XLOOKUP(Table3[[#This Row],[SuppliersID]],suppliers[ProductID],suppliers[Client_Name]))</f>
        <v>PT Frozen Express</v>
      </c>
      <c r="H21" s="10">
        <v>45754</v>
      </c>
      <c r="I21" s="3">
        <v>6</v>
      </c>
      <c r="J21" s="3">
        <f>IF(ISBLANK(Table3[[#This Row],[ProductID]]),"",_xlfn.XLOOKUP(Table3[[#This Row],[ProductID]],Inventory[Invent ID],Inventory[Available_Stock]))</f>
        <v>6</v>
      </c>
      <c r="K21" s="9">
        <v>4.22</v>
      </c>
      <c r="L21" s="9">
        <f>IFERROR(Table3[[#This Row],[Purchase]]*Table3[[#This Row],[Unit_cost]],"")</f>
        <v>25.32</v>
      </c>
      <c r="M21" s="8" t="str">
        <f>IF(ISBLANK(Table3[[#This Row],[ProductID]]),"",TEXT(Table3[[#This Row],[Date]],"mmm"))</f>
        <v>abr</v>
      </c>
      <c r="P21" s="1"/>
      <c r="Q21" s="1"/>
      <c r="R21" s="1"/>
      <c r="S21" s="1"/>
    </row>
    <row r="22" spans="4:19" x14ac:dyDescent="0.3">
      <c r="D22" s="3" t="s">
        <v>32</v>
      </c>
      <c r="E22" s="8" t="str">
        <f>IF(ISBLANK(Table3[[#This Row],[ProductID]]),"",_xlfn.XLOOKUP(Table3[[#This Row],[ProductID]],Inventory[Invent ID],Inventory[Product_Name]))</f>
        <v>Coffe Maker</v>
      </c>
      <c r="F22" s="3" t="s">
        <v>147</v>
      </c>
      <c r="G22" s="8" t="str">
        <f>IF(ISBLANK(Table3[[#This Row],[SuppliersID]]),"",_xlfn.XLOOKUP(Table3[[#This Row],[SuppliersID]],suppliers[ProductID],suppliers[Client_Name]))</f>
        <v>PT Beverage Nusantara</v>
      </c>
      <c r="H22" s="10">
        <v>45757</v>
      </c>
      <c r="I22" s="3">
        <v>176</v>
      </c>
      <c r="J22" s="3">
        <f>IF(ISBLANK(Table3[[#This Row],[ProductID]]),"",_xlfn.XLOOKUP(Table3[[#This Row],[ProductID]],Inventory[Invent ID],Inventory[Available_Stock]))</f>
        <v>109</v>
      </c>
      <c r="K22" s="9">
        <v>4.88</v>
      </c>
      <c r="L22" s="9">
        <f>IFERROR(Table3[[#This Row],[Purchase]]*Table3[[#This Row],[Unit_cost]],"")</f>
        <v>858.88</v>
      </c>
      <c r="M22" s="8" t="str">
        <f>IF(ISBLANK(Table3[[#This Row],[ProductID]]),"",TEXT(Table3[[#This Row],[Date]],"mmm"))</f>
        <v>abr</v>
      </c>
      <c r="P22" s="1"/>
      <c r="Q22" s="1"/>
      <c r="R22" s="1"/>
      <c r="S22" s="1"/>
    </row>
    <row r="23" spans="4:19" x14ac:dyDescent="0.3">
      <c r="D23" s="3" t="s">
        <v>33</v>
      </c>
      <c r="E23" s="8" t="str">
        <f>IF(ISBLANK(Table3[[#This Row],[ProductID]]),"",_xlfn.XLOOKUP(Table3[[#This Row],[ProductID]],Inventory[Invent ID],Inventory[Product_Name]))</f>
        <v>Plastic Cup</v>
      </c>
      <c r="F23" s="3" t="s">
        <v>151</v>
      </c>
      <c r="G23" s="8" t="str">
        <f>IF(ISBLANK(Table3[[#This Row],[SuppliersID]]),"",_xlfn.XLOOKUP(Table3[[#This Row],[SuppliersID]],suppliers[ProductID],suppliers[Client_Name]))</f>
        <v>PT Nusantara Supplier</v>
      </c>
      <c r="H23" s="10">
        <v>45767</v>
      </c>
      <c r="I23" s="3">
        <v>146</v>
      </c>
      <c r="J23" s="3">
        <f>IF(ISBLANK(Table3[[#This Row],[ProductID]]),"",_xlfn.XLOOKUP(Table3[[#This Row],[ProductID]],Inventory[Invent ID],Inventory[Available_Stock]))</f>
        <v>60</v>
      </c>
      <c r="K23" s="9">
        <v>4.1900000000000004</v>
      </c>
      <c r="L23" s="9">
        <f>IFERROR(Table3[[#This Row],[Purchase]]*Table3[[#This Row],[Unit_cost]],"")</f>
        <v>611.74</v>
      </c>
      <c r="M23" s="8" t="str">
        <f>IF(ISBLANK(Table3[[#This Row],[ProductID]]),"",TEXT(Table3[[#This Row],[Date]],"mmm"))</f>
        <v>abr</v>
      </c>
      <c r="P23" s="1"/>
      <c r="Q23" s="1"/>
      <c r="R23" s="1"/>
      <c r="S23" s="1"/>
    </row>
    <row r="24" spans="4:19" x14ac:dyDescent="0.3">
      <c r="D24" s="3" t="s">
        <v>34</v>
      </c>
      <c r="E24" s="8" t="str">
        <f>IF(ISBLANK(Table3[[#This Row],[ProductID]]),"",_xlfn.XLOOKUP(Table3[[#This Row],[ProductID]],Inventory[Invent ID],Inventory[Product_Name]))</f>
        <v>Olive Plate</v>
      </c>
      <c r="F24" s="3" t="s">
        <v>155</v>
      </c>
      <c r="G24" s="8" t="str">
        <f>IF(ISBLANK(Table3[[#This Row],[SuppliersID]]),"",_xlfn.XLOOKUP(Table3[[#This Row],[SuppliersID]],suppliers[ProductID],suppliers[Client_Name]))</f>
        <v>PT Nusantara Supplier</v>
      </c>
      <c r="H24" s="10">
        <v>45778</v>
      </c>
      <c r="I24" s="3">
        <v>104</v>
      </c>
      <c r="J24" s="3">
        <f>IF(ISBLANK(Table3[[#This Row],[ProductID]]),"",_xlfn.XLOOKUP(Table3[[#This Row],[ProductID]],Inventory[Invent ID],Inventory[Available_Stock]))</f>
        <v>28</v>
      </c>
      <c r="K24" s="9">
        <v>4.1100000000000003</v>
      </c>
      <c r="L24" s="9">
        <f>IFERROR(Table3[[#This Row],[Purchase]]*Table3[[#This Row],[Unit_cost]],"")</f>
        <v>427.44000000000005</v>
      </c>
      <c r="M24" s="8" t="str">
        <f>IF(ISBLANK(Table3[[#This Row],[ProductID]]),"",TEXT(Table3[[#This Row],[Date]],"mmm"))</f>
        <v>may</v>
      </c>
      <c r="P24" s="1"/>
      <c r="Q24" s="1"/>
      <c r="R24" s="1"/>
      <c r="S24" s="1"/>
    </row>
    <row r="25" spans="4:19" x14ac:dyDescent="0.3">
      <c r="D25" s="3" t="s">
        <v>35</v>
      </c>
      <c r="E25" s="8" t="str">
        <f>IF(ISBLANK(Table3[[#This Row],[ProductID]]),"",_xlfn.XLOOKUP(Table3[[#This Row],[ProductID]],Inventory[Invent ID],Inventory[Product_Name]))</f>
        <v>Liquid Soap</v>
      </c>
      <c r="F25" s="3" t="s">
        <v>159</v>
      </c>
      <c r="G25" s="8" t="str">
        <f>IF(ISBLANK(Table3[[#This Row],[SuppliersID]]),"",_xlfn.XLOOKUP(Table3[[#This Row],[SuppliersID]],suppliers[ProductID],suppliers[Client_Name]))</f>
        <v>PT Segar Makmur</v>
      </c>
      <c r="H25" s="10">
        <v>45783</v>
      </c>
      <c r="I25" s="3">
        <v>121</v>
      </c>
      <c r="J25" s="3">
        <f>IF(ISBLANK(Table3[[#This Row],[ProductID]]),"",_xlfn.XLOOKUP(Table3[[#This Row],[ProductID]],Inventory[Invent ID],Inventory[Available_Stock]))</f>
        <v>20</v>
      </c>
      <c r="K25" s="9">
        <v>5.44</v>
      </c>
      <c r="L25" s="9">
        <f>IFERROR(Table3[[#This Row],[Purchase]]*Table3[[#This Row],[Unit_cost]],"")</f>
        <v>658.24</v>
      </c>
      <c r="M25" s="8" t="str">
        <f>IF(ISBLANK(Table3[[#This Row],[ProductID]]),"",TEXT(Table3[[#This Row],[Date]],"mmm"))</f>
        <v>may</v>
      </c>
      <c r="P25" s="1"/>
      <c r="Q25" s="1"/>
      <c r="R25" s="1"/>
      <c r="S25" s="1"/>
    </row>
    <row r="26" spans="4:19" x14ac:dyDescent="0.3">
      <c r="D26" s="3" t="s">
        <v>35</v>
      </c>
      <c r="E26" s="8" t="str">
        <f>IF(ISBLANK(Table3[[#This Row],[ProductID]]),"",_xlfn.XLOOKUP(Table3[[#This Row],[ProductID]],Inventory[Invent ID],Inventory[Product_Name]))</f>
        <v>Liquid Soap</v>
      </c>
      <c r="F26" s="3" t="s">
        <v>159</v>
      </c>
      <c r="G26" s="8" t="str">
        <f>IF(ISBLANK(Table3[[#This Row],[SuppliersID]]),"",_xlfn.XLOOKUP(Table3[[#This Row],[SuppliersID]],suppliers[ProductID],suppliers[Client_Name]))</f>
        <v>PT Segar Makmur</v>
      </c>
      <c r="H26" s="10">
        <v>45815</v>
      </c>
      <c r="I26" s="3">
        <v>10</v>
      </c>
      <c r="J26" s="3">
        <f>IF(ISBLANK(Table3[[#This Row],[ProductID]]),"",_xlfn.XLOOKUP(Table3[[#This Row],[ProductID]],Inventory[Invent ID],Inventory[Available_Stock]))</f>
        <v>20</v>
      </c>
      <c r="K26" s="9">
        <v>5.44</v>
      </c>
      <c r="L26" s="9">
        <f>IFERROR(Table3[[#This Row],[Purchase]]*Table3[[#This Row],[Unit_cost]],"")</f>
        <v>54.400000000000006</v>
      </c>
      <c r="M26" s="8" t="str">
        <f>IF(ISBLANK(Table3[[#This Row],[ProductID]]),"",TEXT(Table3[[#This Row],[Date]],"mmm"))</f>
        <v>jun</v>
      </c>
      <c r="P26" s="1"/>
      <c r="Q26" s="1"/>
      <c r="R26" s="1"/>
      <c r="S26" s="1"/>
    </row>
    <row r="27" spans="4:19" x14ac:dyDescent="0.3">
      <c r="D27" s="3" t="s">
        <v>35</v>
      </c>
      <c r="E27" s="8" t="str">
        <f>IF(ISBLANK(Table3[[#This Row],[ProductID]]),"",_xlfn.XLOOKUP(Table3[[#This Row],[ProductID]],Inventory[Invent ID],Inventory[Product_Name]))</f>
        <v>Liquid Soap</v>
      </c>
      <c r="F27" s="3" t="s">
        <v>159</v>
      </c>
      <c r="G27" s="8" t="str">
        <f>IF(ISBLANK(Table3[[#This Row],[SuppliersID]]),"",_xlfn.XLOOKUP(Table3[[#This Row],[SuppliersID]],suppliers[ProductID],suppliers[Client_Name]))</f>
        <v>PT Segar Makmur</v>
      </c>
      <c r="H27" s="10">
        <v>45818</v>
      </c>
      <c r="I27" s="3">
        <v>20</v>
      </c>
      <c r="J27" s="3">
        <f>IF(ISBLANK(Table3[[#This Row],[ProductID]]),"",_xlfn.XLOOKUP(Table3[[#This Row],[ProductID]],Inventory[Invent ID],Inventory[Available_Stock]))</f>
        <v>20</v>
      </c>
      <c r="K27" s="9">
        <v>5.44</v>
      </c>
      <c r="L27" s="9">
        <f>IFERROR(Table3[[#This Row],[Purchase]]*Table3[[#This Row],[Unit_cost]],"")</f>
        <v>108.80000000000001</v>
      </c>
      <c r="M27" s="8" t="str">
        <f>IF(ISBLANK(Table3[[#This Row],[ProductID]]),"",TEXT(Table3[[#This Row],[Date]],"mmm"))</f>
        <v>jun</v>
      </c>
      <c r="P27" s="1"/>
      <c r="Q27" s="1"/>
      <c r="R27" s="1"/>
      <c r="S27" s="1"/>
    </row>
    <row r="28" spans="4:19" x14ac:dyDescent="0.3">
      <c r="D28" s="3" t="s">
        <v>28</v>
      </c>
      <c r="E28" s="8" t="str">
        <f>IF(ISBLANK(Table3[[#This Row],[ProductID]]),"",_xlfn.XLOOKUP(Table3[[#This Row],[ProductID]],Inventory[Invent ID],Inventory[Product_Name]))</f>
        <v>Beauty Care</v>
      </c>
      <c r="F28" s="3" t="s">
        <v>128</v>
      </c>
      <c r="G28" s="8" t="str">
        <f>IF(ISBLANK(Table3[[#This Row],[SuppliersID]]),"",_xlfn.XLOOKUP(Table3[[#This Row],[SuppliersID]],suppliers[ProductID],suppliers[Client_Name]))</f>
        <v>PT Agro Raya</v>
      </c>
      <c r="H28" s="10">
        <v>45819</v>
      </c>
      <c r="I28" s="3">
        <v>20</v>
      </c>
      <c r="J28" s="3">
        <f>IF(ISBLANK(Table3[[#This Row],[ProductID]]),"",_xlfn.XLOOKUP(Table3[[#This Row],[ProductID]],Inventory[Invent ID],Inventory[Available_Stock]))</f>
        <v>0</v>
      </c>
      <c r="K28" s="9">
        <v>9.06</v>
      </c>
      <c r="L28" s="9">
        <f>IFERROR(Table3[[#This Row],[Purchase]]*Table3[[#This Row],[Unit_cost]],"")</f>
        <v>181.20000000000002</v>
      </c>
      <c r="M28" s="8" t="str">
        <f>IF(ISBLANK(Table3[[#This Row],[ProductID]]),"",TEXT(Table3[[#This Row],[Date]],"mmm"))</f>
        <v>jun</v>
      </c>
      <c r="P28" s="1"/>
      <c r="Q28" s="1"/>
      <c r="R28" s="1"/>
      <c r="S28" s="1"/>
    </row>
    <row r="29" spans="4:19" x14ac:dyDescent="0.3">
      <c r="D29" s="3" t="s">
        <v>20</v>
      </c>
      <c r="E29" s="8" t="str">
        <f>IF(ISBLANK(Table3[[#This Row],[ProductID]]),"",_xlfn.XLOOKUP(Table3[[#This Row],[ProductID]],Inventory[Invent ID],Inventory[Product_Name]))</f>
        <v>Beverages</v>
      </c>
      <c r="F29" s="3" t="s">
        <v>102</v>
      </c>
      <c r="G29" s="8" t="str">
        <f>IF(ISBLANK(Table3[[#This Row],[SuppliersID]]),"",_xlfn.XLOOKUP(Table3[[#This Row],[SuppliersID]],suppliers[ProductID],suppliers[Client_Name]))</f>
        <v>PT Nusantara Supplier</v>
      </c>
      <c r="H29" s="10">
        <v>45820</v>
      </c>
      <c r="I29" s="3">
        <v>15</v>
      </c>
      <c r="J29" s="3">
        <f>IF(ISBLANK(Table3[[#This Row],[ProductID]]),"",_xlfn.XLOOKUP(Table3[[#This Row],[ProductID]],Inventory[Invent ID],Inventory[Available_Stock]))</f>
        <v>65</v>
      </c>
      <c r="K29" s="9">
        <v>6.66</v>
      </c>
      <c r="L29" s="9">
        <f>IFERROR(Table3[[#This Row],[Purchase]]*Table3[[#This Row],[Unit_cost]],"")</f>
        <v>99.9</v>
      </c>
      <c r="M29" s="8" t="str">
        <f>IF(ISBLANK(Table3[[#This Row],[ProductID]]),"",TEXT(Table3[[#This Row],[Date]],"mmm"))</f>
        <v>jun</v>
      </c>
      <c r="P29" s="1"/>
      <c r="Q29" s="1"/>
      <c r="R29" s="1"/>
      <c r="S29" s="1"/>
    </row>
    <row r="30" spans="4:19" x14ac:dyDescent="0.3">
      <c r="D30" s="3" t="s">
        <v>27</v>
      </c>
      <c r="E30" s="8" t="str">
        <f>IF(ISBLANK(Table3[[#This Row],[ProductID]]),"",_xlfn.XLOOKUP(Table3[[#This Row],[ProductID]],Inventory[Invent ID],Inventory[Product_Name]))</f>
        <v>Waste Paper</v>
      </c>
      <c r="F30" s="3" t="s">
        <v>124</v>
      </c>
      <c r="G30" s="8" t="str">
        <f>IF(ISBLANK(Table3[[#This Row],[SuppliersID]]),"",_xlfn.XLOOKUP(Table3[[#This Row],[SuppliersID]],suppliers[ProductID],suppliers[Client_Name]))</f>
        <v>PT Indo Fresh</v>
      </c>
      <c r="H30" s="10">
        <v>45821</v>
      </c>
      <c r="I30" s="3">
        <v>5</v>
      </c>
      <c r="J30" s="3">
        <f>IF(ISBLANK(Table3[[#This Row],[ProductID]]),"",_xlfn.XLOOKUP(Table3[[#This Row],[ProductID]],Inventory[Invent ID],Inventory[Available_Stock]))</f>
        <v>161</v>
      </c>
      <c r="K30" s="9">
        <v>3.99</v>
      </c>
      <c r="L30" s="9">
        <f>IFERROR(Table3[[#This Row],[Purchase]]*Table3[[#This Row],[Unit_cost]],"")</f>
        <v>19.950000000000003</v>
      </c>
      <c r="M30" s="8" t="str">
        <f>IF(ISBLANK(Table3[[#This Row],[ProductID]]),"",TEXT(Table3[[#This Row],[Date]],"mmm"))</f>
        <v>jun</v>
      </c>
    </row>
    <row r="31" spans="4:19" x14ac:dyDescent="0.3">
      <c r="E31" s="4"/>
      <c r="G31" s="4"/>
      <c r="J31" s="4"/>
      <c r="L31" s="4"/>
      <c r="M31" s="4"/>
    </row>
    <row r="32" spans="4:19" x14ac:dyDescent="0.3">
      <c r="E32" s="4"/>
      <c r="G32" s="4"/>
      <c r="J32" s="4"/>
      <c r="L32" s="4"/>
      <c r="M32" s="4"/>
    </row>
    <row r="33" spans="5:13" x14ac:dyDescent="0.3">
      <c r="E33" s="4"/>
      <c r="G33" s="4"/>
      <c r="J33" s="4"/>
      <c r="L33" s="4"/>
      <c r="M33" s="4"/>
    </row>
    <row r="34" spans="5:13" x14ac:dyDescent="0.3">
      <c r="E34" s="4"/>
      <c r="G34" s="4"/>
      <c r="J34" s="4"/>
      <c r="L34" s="4"/>
      <c r="M34" s="4"/>
    </row>
  </sheetData>
  <phoneticPr fontId="1" type="noConversion"/>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EA22616A-CD1F-419F-8026-F21146E24E1D}">
          <x14:formula1>
            <xm:f>Inventory!$D$7:$D$27</xm:f>
          </x14:formula1>
          <xm:sqref>D7:D30</xm:sqref>
        </x14:dataValidation>
        <x14:dataValidation type="list" allowBlank="1" showInputMessage="1" showErrorMessage="1" xr:uid="{6AEFED9B-406D-4DDF-86D3-1D1A12F361F8}">
          <x14:formula1>
            <xm:f>Suppliers!$D$8:$D$30</xm:f>
          </x14:formula1>
          <xm:sqref>F7:F30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DAB7-A46A-4A30-9B7E-D4F1FC7B6911}">
  <dimension ref="B1:L37"/>
  <sheetViews>
    <sheetView workbookViewId="0"/>
  </sheetViews>
  <sheetFormatPr defaultRowHeight="14.4" x14ac:dyDescent="0.3"/>
  <cols>
    <col min="1" max="1" width="4.6640625" style="1" customWidth="1"/>
    <col min="2" max="2" width="26" style="2" customWidth="1"/>
    <col min="3" max="3" width="3.5546875" style="1" customWidth="1"/>
    <col min="4" max="12" width="16.77734375" style="3" customWidth="1"/>
    <col min="13" max="16384" width="8.88671875" style="1"/>
  </cols>
  <sheetData>
    <row r="1" spans="2:12" ht="22.2" customHeight="1" x14ac:dyDescent="0.3">
      <c r="B1" s="1"/>
    </row>
    <row r="6" spans="2:12" x14ac:dyDescent="0.3">
      <c r="D6" s="3" t="s">
        <v>72</v>
      </c>
      <c r="E6" s="3" t="s">
        <v>55</v>
      </c>
      <c r="F6" s="3" t="s">
        <v>56</v>
      </c>
      <c r="G6" s="3" t="s">
        <v>52</v>
      </c>
      <c r="H6" s="3" t="s">
        <v>57</v>
      </c>
      <c r="I6" s="3" t="s">
        <v>58</v>
      </c>
      <c r="J6" s="3" t="s">
        <v>7</v>
      </c>
      <c r="K6" s="3" t="s">
        <v>59</v>
      </c>
      <c r="L6" s="3" t="s">
        <v>54</v>
      </c>
    </row>
    <row r="7" spans="2:12" x14ac:dyDescent="0.3">
      <c r="D7" s="3" t="s">
        <v>11</v>
      </c>
      <c r="E7" s="8" t="str">
        <f>IF(ISBLANK(Table4[[#This Row],[Sales ID]]),"",_xlfn.XLOOKUP(Table4[[#This Row],[Sales ID]],Inventory[Invent ID],Inventory[Product_Name]))</f>
        <v xml:space="preserve"> Pantry</v>
      </c>
      <c r="F7" s="3" t="s">
        <v>60</v>
      </c>
      <c r="G7" s="10">
        <v>45743</v>
      </c>
      <c r="H7" s="3">
        <v>49</v>
      </c>
      <c r="I7" s="8">
        <f>IF(ISBLANK(Table4[[#This Row],[Sales ID]]),"",_xlfn.XLOOKUP(Table4[[#This Row],[Sales ID]],Inventory[Invent ID],Inventory[Available_Stock]))</f>
        <v>55</v>
      </c>
      <c r="J7" s="9">
        <v>11.07</v>
      </c>
      <c r="K7" s="9">
        <f>IFERROR(Table4[[#This Row],[Unit_Price]]*Table4[[#This Row],[Unit_sold]],"")</f>
        <v>542.43000000000006</v>
      </c>
      <c r="L7" s="8" t="str">
        <f>IF(ISBLANK(Table4[[#This Row],[Sales ID]]),"",TEXT(Table4[[#This Row],[Date]],"mmm"))</f>
        <v>mar</v>
      </c>
    </row>
    <row r="8" spans="2:12" x14ac:dyDescent="0.3">
      <c r="D8" s="3" t="s">
        <v>12</v>
      </c>
      <c r="E8" s="8" t="str">
        <f>IF(ISBLANK(Table4[[#This Row],[Sales ID]]),"",_xlfn.XLOOKUP(Table4[[#This Row],[Sales ID]],Inventory[Invent ID],Inventory[Product_Name]))</f>
        <v>Fresh Produce</v>
      </c>
      <c r="F8" s="3" t="s">
        <v>60</v>
      </c>
      <c r="G8" s="10">
        <v>45744</v>
      </c>
      <c r="H8" s="3">
        <v>156</v>
      </c>
      <c r="I8" s="8">
        <f>IF(ISBLANK(Table4[[#This Row],[Sales ID]]),"",_xlfn.XLOOKUP(Table4[[#This Row],[Sales ID]],Inventory[Invent ID],Inventory[Available_Stock]))</f>
        <v>22</v>
      </c>
      <c r="J8" s="9">
        <v>12.99</v>
      </c>
      <c r="K8" s="9">
        <f>IFERROR(Table4[[#This Row],[Unit_Price]]*Table4[[#This Row],[Unit_sold]],"")</f>
        <v>2026.44</v>
      </c>
      <c r="L8" s="8" t="str">
        <f>IF(ISBLANK(Table4[[#This Row],[Sales ID]]),"",TEXT(Table4[[#This Row],[Date]],"mmm"))</f>
        <v>mar</v>
      </c>
    </row>
    <row r="9" spans="2:12" x14ac:dyDescent="0.3">
      <c r="D9" s="3" t="s">
        <v>14</v>
      </c>
      <c r="E9" s="8" t="str">
        <f>IF(ISBLANK(Table4[[#This Row],[Sales ID]]),"",_xlfn.XLOOKUP(Table4[[#This Row],[Sales ID]],Inventory[Invent ID],Inventory[Product_Name]))</f>
        <v>House Cake</v>
      </c>
      <c r="F9" s="3" t="s">
        <v>61</v>
      </c>
      <c r="G9" s="10">
        <v>45745</v>
      </c>
      <c r="H9" s="3">
        <v>69</v>
      </c>
      <c r="I9" s="8">
        <f>IF(ISBLANK(Table4[[#This Row],[Sales ID]]),"",_xlfn.XLOOKUP(Table4[[#This Row],[Sales ID]],Inventory[Invent ID],Inventory[Available_Stock]))</f>
        <v>22</v>
      </c>
      <c r="J9" s="9">
        <v>7.05</v>
      </c>
      <c r="K9" s="9">
        <f>IFERROR(Table4[[#This Row],[Unit_Price]]*Table4[[#This Row],[Unit_sold]],"")</f>
        <v>486.45</v>
      </c>
      <c r="L9" s="8" t="str">
        <f>IF(ISBLANK(Table4[[#This Row],[Sales ID]]),"",TEXT(Table4[[#This Row],[Date]],"mmm"))</f>
        <v>mar</v>
      </c>
    </row>
    <row r="10" spans="2:12" x14ac:dyDescent="0.3">
      <c r="D10" s="3" t="s">
        <v>16</v>
      </c>
      <c r="E10" s="8" t="str">
        <f>IF(ISBLANK(Table4[[#This Row],[Sales ID]]),"",_xlfn.XLOOKUP(Table4[[#This Row],[Sales ID]],Inventory[Invent ID],Inventory[Product_Name]))</f>
        <v>Seafood</v>
      </c>
      <c r="F10" s="3" t="s">
        <v>62</v>
      </c>
      <c r="G10" s="10">
        <v>45746</v>
      </c>
      <c r="H10" s="3">
        <v>0</v>
      </c>
      <c r="I10" s="8">
        <f>IF(ISBLANK(Table4[[#This Row],[Sales ID]]),"",_xlfn.XLOOKUP(Table4[[#This Row],[Sales ID]],Inventory[Invent ID],Inventory[Available_Stock]))</f>
        <v>25</v>
      </c>
      <c r="J10" s="9">
        <v>8.0399999999999991</v>
      </c>
      <c r="K10" s="9">
        <f>IFERROR(Table4[[#This Row],[Unit_Price]]*Table4[[#This Row],[Unit_sold]],"")</f>
        <v>0</v>
      </c>
      <c r="L10" s="8" t="str">
        <f>IF(ISBLANK(Table4[[#This Row],[Sales ID]]),"",TEXT(Table4[[#This Row],[Date]],"mmm"))</f>
        <v>mar</v>
      </c>
    </row>
    <row r="11" spans="2:12" x14ac:dyDescent="0.3">
      <c r="D11" s="3" t="s">
        <v>18</v>
      </c>
      <c r="E11" s="8" t="str">
        <f>IF(ISBLANK(Table4[[#This Row],[Sales ID]]),"",_xlfn.XLOOKUP(Table4[[#This Row],[Sales ID]],Inventory[Invent ID],Inventory[Product_Name]))</f>
        <v>Personal Care</v>
      </c>
      <c r="F11" s="3" t="s">
        <v>63</v>
      </c>
      <c r="G11" s="10">
        <v>45747</v>
      </c>
      <c r="H11" s="3">
        <v>28</v>
      </c>
      <c r="I11" s="8">
        <f>IF(ISBLANK(Table4[[#This Row],[Sales ID]]),"",_xlfn.XLOOKUP(Table4[[#This Row],[Sales ID]],Inventory[Invent ID],Inventory[Available_Stock]))</f>
        <v>69</v>
      </c>
      <c r="J11" s="9">
        <v>4.59</v>
      </c>
      <c r="K11" s="9">
        <f>IFERROR(Table4[[#This Row],[Unit_Price]]*Table4[[#This Row],[Unit_sold]],"")</f>
        <v>128.51999999999998</v>
      </c>
      <c r="L11" s="8" t="str">
        <f>IF(ISBLANK(Table4[[#This Row],[Sales ID]]),"",TEXT(Table4[[#This Row],[Date]],"mmm"))</f>
        <v>mar</v>
      </c>
    </row>
    <row r="12" spans="2:12" x14ac:dyDescent="0.3">
      <c r="D12" s="3" t="s">
        <v>20</v>
      </c>
      <c r="E12" s="8" t="str">
        <f>IF(ISBLANK(Table4[[#This Row],[Sales ID]]),"",_xlfn.XLOOKUP(Table4[[#This Row],[Sales ID]],Inventory[Invent ID],Inventory[Product_Name]))</f>
        <v>Beverages</v>
      </c>
      <c r="F12" s="3" t="s">
        <v>64</v>
      </c>
      <c r="G12" s="10">
        <v>45748</v>
      </c>
      <c r="H12" s="3">
        <v>0</v>
      </c>
      <c r="I12" s="8">
        <f>IF(ISBLANK(Table4[[#This Row],[Sales ID]]),"",_xlfn.XLOOKUP(Table4[[#This Row],[Sales ID]],Inventory[Invent ID],Inventory[Available_Stock]))</f>
        <v>65</v>
      </c>
      <c r="J12" s="9">
        <v>9.0299999999999994</v>
      </c>
      <c r="K12" s="9">
        <f>IFERROR(Table4[[#This Row],[Unit_Price]]*Table4[[#This Row],[Unit_sold]],"")</f>
        <v>0</v>
      </c>
      <c r="L12" s="8" t="str">
        <f>IF(ISBLANK(Table4[[#This Row],[Sales ID]]),"",TEXT(Table4[[#This Row],[Date]],"mmm"))</f>
        <v>abr</v>
      </c>
    </row>
    <row r="13" spans="2:12" x14ac:dyDescent="0.3">
      <c r="D13" s="3" t="s">
        <v>22</v>
      </c>
      <c r="E13" s="8" t="str">
        <f>IF(ISBLANK(Table4[[#This Row],[Sales ID]]),"",_xlfn.XLOOKUP(Table4[[#This Row],[Sales ID]],Inventory[Invent ID],Inventory[Product_Name]))</f>
        <v>Dairy</v>
      </c>
      <c r="F13" s="3" t="s">
        <v>65</v>
      </c>
      <c r="G13" s="10">
        <v>45749</v>
      </c>
      <c r="H13" s="3">
        <v>56</v>
      </c>
      <c r="I13" s="8">
        <f>IF(ISBLANK(Table4[[#This Row],[Sales ID]]),"",_xlfn.XLOOKUP(Table4[[#This Row],[Sales ID]],Inventory[Invent ID],Inventory[Available_Stock]))</f>
        <v>119</v>
      </c>
      <c r="J13" s="9">
        <v>9.25</v>
      </c>
      <c r="K13" s="9">
        <f>IFERROR(Table4[[#This Row],[Unit_Price]]*Table4[[#This Row],[Unit_sold]],"")</f>
        <v>518</v>
      </c>
      <c r="L13" s="8" t="str">
        <f>IF(ISBLANK(Table4[[#This Row],[Sales ID]]),"",TEXT(Table4[[#This Row],[Date]],"mmm"))</f>
        <v>abr</v>
      </c>
    </row>
    <row r="14" spans="2:12" x14ac:dyDescent="0.3">
      <c r="D14" s="3" t="s">
        <v>24</v>
      </c>
      <c r="E14" s="8" t="str">
        <f>IF(ISBLANK(Table4[[#This Row],[Sales ID]]),"",_xlfn.XLOOKUP(Table4[[#This Row],[Sales ID]],Inventory[Invent ID],Inventory[Product_Name]))</f>
        <v>Meat</v>
      </c>
      <c r="F14" s="3" t="s">
        <v>66</v>
      </c>
      <c r="G14" s="10">
        <v>45750</v>
      </c>
      <c r="H14" s="3">
        <v>31</v>
      </c>
      <c r="I14" s="8">
        <f>IF(ISBLANK(Table4[[#This Row],[Sales ID]]),"",_xlfn.XLOOKUP(Table4[[#This Row],[Sales ID]],Inventory[Invent ID],Inventory[Available_Stock]))</f>
        <v>23</v>
      </c>
      <c r="J14" s="9">
        <v>9.99</v>
      </c>
      <c r="K14" s="9">
        <f>IFERROR(Table4[[#This Row],[Unit_Price]]*Table4[[#This Row],[Unit_sold]],"")</f>
        <v>309.69</v>
      </c>
      <c r="L14" s="8" t="str">
        <f>IF(ISBLANK(Table4[[#This Row],[Sales ID]]),"",TEXT(Table4[[#This Row],[Date]],"mmm"))</f>
        <v>abr</v>
      </c>
    </row>
    <row r="15" spans="2:12" x14ac:dyDescent="0.3">
      <c r="D15" s="3" t="s">
        <v>25</v>
      </c>
      <c r="E15" s="8" t="str">
        <f>IF(ISBLANK(Table4[[#This Row],[Sales ID]]),"",_xlfn.XLOOKUP(Table4[[#This Row],[Sales ID]],Inventory[Invent ID],Inventory[Product_Name]))</f>
        <v>Fresh Wine</v>
      </c>
      <c r="F15" s="3" t="s">
        <v>67</v>
      </c>
      <c r="G15" s="10">
        <v>45751</v>
      </c>
      <c r="H15" s="3">
        <v>140</v>
      </c>
      <c r="I15" s="8">
        <f>IF(ISBLANK(Table4[[#This Row],[Sales ID]]),"",_xlfn.XLOOKUP(Table4[[#This Row],[Sales ID]],Inventory[Invent ID],Inventory[Available_Stock]))</f>
        <v>0</v>
      </c>
      <c r="J15" s="9">
        <v>5.56</v>
      </c>
      <c r="K15" s="9">
        <f>IFERROR(Table4[[#This Row],[Unit_Price]]*Table4[[#This Row],[Unit_sold]],"")</f>
        <v>778.4</v>
      </c>
      <c r="L15" s="8" t="str">
        <f>IF(ISBLANK(Table4[[#This Row],[Sales ID]]),"",TEXT(Table4[[#This Row],[Date]],"mmm"))</f>
        <v>abr</v>
      </c>
    </row>
    <row r="16" spans="2:12" x14ac:dyDescent="0.3">
      <c r="D16" s="3" t="s">
        <v>26</v>
      </c>
      <c r="E16" s="8" t="str">
        <f>IF(ISBLANK(Table4[[#This Row],[Sales ID]]),"",_xlfn.XLOOKUP(Table4[[#This Row],[Sales ID]],Inventory[Invent ID],Inventory[Product_Name]))</f>
        <v>Kitchen Hanger</v>
      </c>
      <c r="F16" s="3" t="s">
        <v>68</v>
      </c>
      <c r="G16" s="10">
        <v>45752</v>
      </c>
      <c r="H16" s="3">
        <v>135</v>
      </c>
      <c r="I16" s="8">
        <f>IF(ISBLANK(Table4[[#This Row],[Sales ID]]),"",_xlfn.XLOOKUP(Table4[[#This Row],[Sales ID]],Inventory[Invent ID],Inventory[Available_Stock]))</f>
        <v>20</v>
      </c>
      <c r="J16" s="9">
        <v>7.13</v>
      </c>
      <c r="K16" s="9">
        <f>IFERROR(Table4[[#This Row],[Unit_Price]]*Table4[[#This Row],[Unit_sold]],"")</f>
        <v>962.55</v>
      </c>
      <c r="L16" s="8" t="str">
        <f>IF(ISBLANK(Table4[[#This Row],[Sales ID]]),"",TEXT(Table4[[#This Row],[Date]],"mmm"))</f>
        <v>abr</v>
      </c>
    </row>
    <row r="17" spans="4:12" x14ac:dyDescent="0.3">
      <c r="D17" s="3" t="s">
        <v>27</v>
      </c>
      <c r="E17" s="8" t="str">
        <f>IF(ISBLANK(Table4[[#This Row],[Sales ID]]),"",_xlfn.XLOOKUP(Table4[[#This Row],[Sales ID]],Inventory[Invent ID],Inventory[Product_Name]))</f>
        <v>Waste Paper</v>
      </c>
      <c r="F17" s="3" t="s">
        <v>60</v>
      </c>
      <c r="G17" s="10">
        <v>45753</v>
      </c>
      <c r="H17" s="3">
        <v>0</v>
      </c>
      <c r="I17" s="8">
        <f>IF(ISBLANK(Table4[[#This Row],[Sales ID]]),"",_xlfn.XLOOKUP(Table4[[#This Row],[Sales ID]],Inventory[Invent ID],Inventory[Available_Stock]))</f>
        <v>161</v>
      </c>
      <c r="J17" s="9">
        <v>5.77</v>
      </c>
      <c r="K17" s="9">
        <f>IFERROR(Table4[[#This Row],[Unit_Price]]*Table4[[#This Row],[Unit_sold]],"")</f>
        <v>0</v>
      </c>
      <c r="L17" s="8" t="str">
        <f>IF(ISBLANK(Table4[[#This Row],[Sales ID]]),"",TEXT(Table4[[#This Row],[Date]],"mmm"))</f>
        <v>abr</v>
      </c>
    </row>
    <row r="18" spans="4:12" x14ac:dyDescent="0.3">
      <c r="D18" s="3" t="s">
        <v>28</v>
      </c>
      <c r="E18" s="8" t="str">
        <f>IF(ISBLANK(Table4[[#This Row],[Sales ID]]),"",_xlfn.XLOOKUP(Table4[[#This Row],[Sales ID]],Inventory[Invent ID],Inventory[Product_Name]))</f>
        <v>Beauty Care</v>
      </c>
      <c r="F18" s="3" t="s">
        <v>68</v>
      </c>
      <c r="G18" s="10">
        <v>45754</v>
      </c>
      <c r="H18" s="3">
        <v>15</v>
      </c>
      <c r="I18" s="8">
        <f>IF(ISBLANK(Table4[[#This Row],[Sales ID]]),"",_xlfn.XLOOKUP(Table4[[#This Row],[Sales ID]],Inventory[Invent ID],Inventory[Available_Stock]))</f>
        <v>0</v>
      </c>
      <c r="J18" s="9">
        <v>11.5</v>
      </c>
      <c r="K18" s="9">
        <f>IFERROR(Table4[[#This Row],[Unit_Price]]*Table4[[#This Row],[Unit_sold]],"")</f>
        <v>172.5</v>
      </c>
      <c r="L18" s="8" t="str">
        <f>IF(ISBLANK(Table4[[#This Row],[Sales ID]]),"",TEXT(Table4[[#This Row],[Date]],"mmm"))</f>
        <v>abr</v>
      </c>
    </row>
    <row r="19" spans="4:12" x14ac:dyDescent="0.3">
      <c r="D19" s="3" t="s">
        <v>29</v>
      </c>
      <c r="E19" s="8" t="str">
        <f>IF(ISBLANK(Table4[[#This Row],[Sales ID]]),"",_xlfn.XLOOKUP(Table4[[#This Row],[Sales ID]],Inventory[Invent ID],Inventory[Product_Name]))</f>
        <v>Make-up Table</v>
      </c>
      <c r="F19" s="3" t="s">
        <v>65</v>
      </c>
      <c r="G19" s="10">
        <v>45755</v>
      </c>
      <c r="H19" s="3">
        <v>70</v>
      </c>
      <c r="I19" s="8">
        <f>IF(ISBLANK(Table4[[#This Row],[Sales ID]]),"",_xlfn.XLOOKUP(Table4[[#This Row],[Sales ID]],Inventory[Invent ID],Inventory[Available_Stock]))</f>
        <v>3</v>
      </c>
      <c r="J19" s="9">
        <v>7.5</v>
      </c>
      <c r="K19" s="9">
        <f>IFERROR(Table4[[#This Row],[Unit_Price]]*Table4[[#This Row],[Unit_sold]],"")</f>
        <v>525</v>
      </c>
      <c r="L19" s="8" t="str">
        <f>IF(ISBLANK(Table4[[#This Row],[Sales ID]]),"",TEXT(Table4[[#This Row],[Date]],"mmm"))</f>
        <v>abr</v>
      </c>
    </row>
    <row r="20" spans="4:12" x14ac:dyDescent="0.3">
      <c r="D20" s="3" t="s">
        <v>30</v>
      </c>
      <c r="E20" s="8" t="str">
        <f>IF(ISBLANK(Table4[[#This Row],[Sales ID]]),"",_xlfn.XLOOKUP(Table4[[#This Row],[Sales ID]],Inventory[Invent ID],Inventory[Product_Name]))</f>
        <v>Children's Table</v>
      </c>
      <c r="F20" s="3" t="s">
        <v>69</v>
      </c>
      <c r="G20" s="10">
        <v>45756</v>
      </c>
      <c r="H20" s="3">
        <v>61</v>
      </c>
      <c r="I20" s="8">
        <f>IF(ISBLANK(Table4[[#This Row],[Sales ID]]),"",_xlfn.XLOOKUP(Table4[[#This Row],[Sales ID]],Inventory[Invent ID],Inventory[Available_Stock]))</f>
        <v>88</v>
      </c>
      <c r="J20" s="9">
        <v>6.99</v>
      </c>
      <c r="K20" s="9">
        <f>IFERROR(Table4[[#This Row],[Unit_Price]]*Table4[[#This Row],[Unit_sold]],"")</f>
        <v>426.39</v>
      </c>
      <c r="L20" s="8" t="str">
        <f>IF(ISBLANK(Table4[[#This Row],[Sales ID]]),"",TEXT(Table4[[#This Row],[Date]],"mmm"))</f>
        <v>abr</v>
      </c>
    </row>
    <row r="21" spans="4:12" x14ac:dyDescent="0.3">
      <c r="D21" s="3" t="s">
        <v>31</v>
      </c>
      <c r="E21" s="8" t="str">
        <f>IF(ISBLANK(Table4[[#This Row],[Sales ID]]),"",_xlfn.XLOOKUP(Table4[[#This Row],[Sales ID]],Inventory[Invent ID],Inventory[Product_Name]))</f>
        <v>Apple Juice</v>
      </c>
      <c r="F21" s="3" t="s">
        <v>70</v>
      </c>
      <c r="G21" s="10">
        <v>45757</v>
      </c>
      <c r="H21" s="3">
        <v>0</v>
      </c>
      <c r="I21" s="8">
        <f>IF(ISBLANK(Table4[[#This Row],[Sales ID]]),"",_xlfn.XLOOKUP(Table4[[#This Row],[Sales ID]],Inventory[Invent ID],Inventory[Available_Stock]))</f>
        <v>6</v>
      </c>
      <c r="J21" s="9">
        <v>5.99</v>
      </c>
      <c r="K21" s="9">
        <f>IFERROR(Table4[[#This Row],[Unit_Price]]*Table4[[#This Row],[Unit_sold]],"")</f>
        <v>0</v>
      </c>
      <c r="L21" s="8" t="str">
        <f>IF(ISBLANK(Table4[[#This Row],[Sales ID]]),"",TEXT(Table4[[#This Row],[Date]],"mmm"))</f>
        <v>abr</v>
      </c>
    </row>
    <row r="22" spans="4:12" x14ac:dyDescent="0.3">
      <c r="D22" s="3" t="s">
        <v>32</v>
      </c>
      <c r="E22" s="8" t="str">
        <f>IF(ISBLANK(Table4[[#This Row],[Sales ID]]),"",_xlfn.XLOOKUP(Table4[[#This Row],[Sales ID]],Inventory[Invent ID],Inventory[Product_Name]))</f>
        <v>Coffe Maker</v>
      </c>
      <c r="F22" s="3" t="s">
        <v>71</v>
      </c>
      <c r="G22" s="10">
        <v>45758</v>
      </c>
      <c r="H22" s="3">
        <v>67</v>
      </c>
      <c r="I22" s="8">
        <f>IF(ISBLANK(Table4[[#This Row],[Sales ID]]),"",_xlfn.XLOOKUP(Table4[[#This Row],[Sales ID]],Inventory[Invent ID],Inventory[Available_Stock]))</f>
        <v>109</v>
      </c>
      <c r="J22" s="9">
        <v>6.12</v>
      </c>
      <c r="K22" s="9">
        <f>IFERROR(Table4[[#This Row],[Unit_Price]]*Table4[[#This Row],[Unit_sold]],"")</f>
        <v>410.04</v>
      </c>
      <c r="L22" s="8" t="str">
        <f>IF(ISBLANK(Table4[[#This Row],[Sales ID]]),"",TEXT(Table4[[#This Row],[Date]],"mmm"))</f>
        <v>abr</v>
      </c>
    </row>
    <row r="23" spans="4:12" x14ac:dyDescent="0.3">
      <c r="D23" s="3" t="s">
        <v>33</v>
      </c>
      <c r="E23" s="8" t="str">
        <f>IF(ISBLANK(Table4[[#This Row],[Sales ID]]),"",_xlfn.XLOOKUP(Table4[[#This Row],[Sales ID]],Inventory[Invent ID],Inventory[Product_Name]))</f>
        <v>Plastic Cup</v>
      </c>
      <c r="F23" s="3" t="s">
        <v>62</v>
      </c>
      <c r="G23" s="10">
        <v>45759</v>
      </c>
      <c r="H23" s="3">
        <v>86</v>
      </c>
      <c r="I23" s="8">
        <f>IF(ISBLANK(Table4[[#This Row],[Sales ID]]),"",_xlfn.XLOOKUP(Table4[[#This Row],[Sales ID]],Inventory[Invent ID],Inventory[Available_Stock]))</f>
        <v>60</v>
      </c>
      <c r="J23" s="9">
        <v>5.88</v>
      </c>
      <c r="K23" s="9">
        <f>IFERROR(Table4[[#This Row],[Unit_Price]]*Table4[[#This Row],[Unit_sold]],"")</f>
        <v>505.68</v>
      </c>
      <c r="L23" s="8" t="str">
        <f>IF(ISBLANK(Table4[[#This Row],[Sales ID]]),"",TEXT(Table4[[#This Row],[Date]],"mmm"))</f>
        <v>abr</v>
      </c>
    </row>
    <row r="24" spans="4:12" x14ac:dyDescent="0.3">
      <c r="D24" s="3" t="s">
        <v>34</v>
      </c>
      <c r="E24" s="8" t="str">
        <f>IF(ISBLANK(Table4[[#This Row],[Sales ID]]),"",_xlfn.XLOOKUP(Table4[[#This Row],[Sales ID]],Inventory[Invent ID],Inventory[Product_Name]))</f>
        <v>Olive Plate</v>
      </c>
      <c r="F24" s="3" t="s">
        <v>70</v>
      </c>
      <c r="G24" s="10">
        <v>45760</v>
      </c>
      <c r="H24" s="3">
        <v>76</v>
      </c>
      <c r="I24" s="8">
        <f>IF(ISBLANK(Table4[[#This Row],[Sales ID]]),"",_xlfn.XLOOKUP(Table4[[#This Row],[Sales ID]],Inventory[Invent ID],Inventory[Available_Stock]))</f>
        <v>28</v>
      </c>
      <c r="J24" s="9">
        <v>6.19</v>
      </c>
      <c r="K24" s="9">
        <f>IFERROR(Table4[[#This Row],[Unit_Price]]*Table4[[#This Row],[Unit_sold]],"")</f>
        <v>470.44000000000005</v>
      </c>
      <c r="L24" s="8" t="str">
        <f>IF(ISBLANK(Table4[[#This Row],[Sales ID]]),"",TEXT(Table4[[#This Row],[Date]],"mmm"))</f>
        <v>abr</v>
      </c>
    </row>
    <row r="25" spans="4:12" x14ac:dyDescent="0.3">
      <c r="D25" s="3" t="s">
        <v>35</v>
      </c>
      <c r="E25" s="8" t="str">
        <f>IF(ISBLANK(Table4[[#This Row],[Sales ID]]),"",_xlfn.XLOOKUP(Table4[[#This Row],[Sales ID]],Inventory[Invent ID],Inventory[Product_Name]))</f>
        <v>Liquid Soap</v>
      </c>
      <c r="F25" s="3" t="s">
        <v>63</v>
      </c>
      <c r="G25" s="10">
        <v>45803</v>
      </c>
      <c r="H25" s="3">
        <v>94</v>
      </c>
      <c r="I25" s="8">
        <f>IF(ISBLANK(Table4[[#This Row],[Sales ID]]),"",_xlfn.XLOOKUP(Table4[[#This Row],[Sales ID]],Inventory[Invent ID],Inventory[Available_Stock]))</f>
        <v>20</v>
      </c>
      <c r="J25" s="9">
        <v>9.0500000000000007</v>
      </c>
      <c r="K25" s="9">
        <f>IFERROR(Table4[[#This Row],[Unit_Price]]*Table4[[#This Row],[Unit_sold]],"")</f>
        <v>850.7</v>
      </c>
      <c r="L25" s="8" t="str">
        <f>IF(ISBLANK(Table4[[#This Row],[Sales ID]]),"",TEXT(Table4[[#This Row],[Date]],"mmm"))</f>
        <v>may</v>
      </c>
    </row>
    <row r="26" spans="4:12" x14ac:dyDescent="0.3">
      <c r="D26" s="3" t="s">
        <v>35</v>
      </c>
      <c r="E26" s="8" t="str">
        <f>IF(ISBLANK(Table4[[#This Row],[Sales ID]]),"",_xlfn.XLOOKUP(Table4[[#This Row],[Sales ID]],Inventory[Invent ID],Inventory[Product_Name]))</f>
        <v>Liquid Soap</v>
      </c>
      <c r="F26" s="3" t="s">
        <v>70</v>
      </c>
      <c r="G26" s="10">
        <v>45804</v>
      </c>
      <c r="H26" s="3">
        <v>20</v>
      </c>
      <c r="I26" s="8">
        <f>IF(ISBLANK(Table4[[#This Row],[Sales ID]]),"",_xlfn.XLOOKUP(Table4[[#This Row],[Sales ID]],Inventory[Invent ID],Inventory[Available_Stock]))</f>
        <v>20</v>
      </c>
      <c r="J26" s="9">
        <v>9.0500000000000007</v>
      </c>
      <c r="K26" s="9">
        <f>IFERROR(Table4[[#This Row],[Unit_Price]]*Table4[[#This Row],[Unit_sold]],"")</f>
        <v>181</v>
      </c>
      <c r="L26" s="8" t="str">
        <f>IF(ISBLANK(Table4[[#This Row],[Sales ID]]),"",TEXT(Table4[[#This Row],[Date]],"mmm"))</f>
        <v>may</v>
      </c>
    </row>
    <row r="27" spans="4:12" x14ac:dyDescent="0.3">
      <c r="D27" s="3" t="s">
        <v>11</v>
      </c>
      <c r="E27" s="8" t="str">
        <f>IF(ISBLANK(Table4[[#This Row],[Sales ID]]),"",_xlfn.XLOOKUP(Table4[[#This Row],[Sales ID]],Inventory[Invent ID],Inventory[Product_Name]))</f>
        <v xml:space="preserve"> Pantry</v>
      </c>
      <c r="F27" s="3" t="s">
        <v>188</v>
      </c>
      <c r="G27" s="10">
        <v>45806</v>
      </c>
      <c r="H27" s="3">
        <v>50</v>
      </c>
      <c r="I27" s="8">
        <f>IF(ISBLANK(Table4[[#This Row],[Sales ID]]),"",_xlfn.XLOOKUP(Table4[[#This Row],[Sales ID]],Inventory[Invent ID],Inventory[Available_Stock]))</f>
        <v>55</v>
      </c>
      <c r="J27" s="9">
        <v>11.07</v>
      </c>
      <c r="K27" s="9">
        <f>IFERROR(Table4[[#This Row],[Unit_Price]]*Table4[[#This Row],[Unit_sold]],"")</f>
        <v>553.5</v>
      </c>
      <c r="L27" s="8" t="str">
        <f>IF(ISBLANK(Table4[[#This Row],[Sales ID]]),"",TEXT(Table4[[#This Row],[Date]],"mmm"))</f>
        <v>may</v>
      </c>
    </row>
    <row r="28" spans="4:12" x14ac:dyDescent="0.3">
      <c r="D28" s="3" t="s">
        <v>35</v>
      </c>
      <c r="E28" s="8" t="str">
        <f>IF(ISBLANK(Table4[[#This Row],[Sales ID]]),"",_xlfn.XLOOKUP(Table4[[#This Row],[Sales ID]],Inventory[Invent ID],Inventory[Product_Name]))</f>
        <v>Liquid Soap</v>
      </c>
      <c r="F28" s="3" t="s">
        <v>68</v>
      </c>
      <c r="G28" s="10">
        <v>45818</v>
      </c>
      <c r="H28" s="3">
        <v>17</v>
      </c>
      <c r="I28" s="8">
        <f>IF(ISBLANK(Table4[[#This Row],[Sales ID]]),"",_xlfn.XLOOKUP(Table4[[#This Row],[Sales ID]],Inventory[Invent ID],Inventory[Available_Stock]))</f>
        <v>20</v>
      </c>
      <c r="J28" s="9">
        <v>9.0500000000000007</v>
      </c>
      <c r="K28" s="9">
        <f>IFERROR(Table4[[#This Row],[Unit_Price]]*Table4[[#This Row],[Unit_sold]],"")</f>
        <v>153.85000000000002</v>
      </c>
      <c r="L28" s="8" t="str">
        <f>IF(ISBLANK(Table4[[#This Row],[Sales ID]]),"",TEXT(Table4[[#This Row],[Date]],"mmm"))</f>
        <v>jun</v>
      </c>
    </row>
    <row r="29" spans="4:12" x14ac:dyDescent="0.3">
      <c r="D29" s="3" t="s">
        <v>29</v>
      </c>
      <c r="E29" s="8" t="str">
        <f>IF(ISBLANK(Table4[[#This Row],[Sales ID]]),"",_xlfn.XLOOKUP(Table4[[#This Row],[Sales ID]],Inventory[Invent ID],Inventory[Product_Name]))</f>
        <v>Make-up Table</v>
      </c>
      <c r="F29" s="3" t="s">
        <v>71</v>
      </c>
      <c r="G29" s="10">
        <v>45819</v>
      </c>
      <c r="H29" s="3">
        <v>2</v>
      </c>
      <c r="I29" s="8">
        <f>IF(ISBLANK(Table4[[#This Row],[Sales ID]]),"",_xlfn.XLOOKUP(Table4[[#This Row],[Sales ID]],Inventory[Invent ID],Inventory[Available_Stock]))</f>
        <v>3</v>
      </c>
      <c r="J29" s="9">
        <v>7.5</v>
      </c>
      <c r="K29" s="9">
        <f>IFERROR(Table4[[#This Row],[Unit_Price]]*Table4[[#This Row],[Unit_sold]],"")</f>
        <v>15</v>
      </c>
      <c r="L29" s="8" t="str">
        <f>IF(ISBLANK(Table4[[#This Row],[Sales ID]]),"",TEXT(Table4[[#This Row],[Date]],"mmm"))</f>
        <v>jun</v>
      </c>
    </row>
    <row r="30" spans="4:12" x14ac:dyDescent="0.3">
      <c r="D30" s="3" t="s">
        <v>28</v>
      </c>
      <c r="E30" s="8" t="str">
        <f>IF(ISBLANK(Table4[[#This Row],[Sales ID]]),"",_xlfn.XLOOKUP(Table4[[#This Row],[Sales ID]],Inventory[Invent ID],Inventory[Product_Name]))</f>
        <v>Beauty Care</v>
      </c>
      <c r="F30" s="3" t="s">
        <v>68</v>
      </c>
      <c r="G30" s="10">
        <v>45820</v>
      </c>
      <c r="H30" s="3">
        <v>45</v>
      </c>
      <c r="I30" s="8">
        <f>IF(ISBLANK(Table4[[#This Row],[Sales ID]]),"",_xlfn.XLOOKUP(Table4[[#This Row],[Sales ID]],Inventory[Invent ID],Inventory[Available_Stock]))</f>
        <v>0</v>
      </c>
      <c r="J30" s="9">
        <v>11.5</v>
      </c>
      <c r="K30" s="9">
        <f>IFERROR(Table4[[#This Row],[Unit_Price]]*Table4[[#This Row],[Unit_sold]],"")</f>
        <v>517.5</v>
      </c>
      <c r="L30" s="8" t="str">
        <f>IF(ISBLANK(Table4[[#This Row],[Sales ID]]),"",TEXT(Table4[[#This Row],[Date]],"mmm"))</f>
        <v>jun</v>
      </c>
    </row>
    <row r="31" spans="4:12" x14ac:dyDescent="0.3">
      <c r="D31" s="3" t="s">
        <v>25</v>
      </c>
      <c r="E31" s="8" t="str">
        <f>IF(ISBLANK(Table4[[#This Row],[Sales ID]]),"",_xlfn.XLOOKUP(Table4[[#This Row],[Sales ID]],Inventory[Invent ID],Inventory[Product_Name]))</f>
        <v>Fresh Wine</v>
      </c>
      <c r="F31" s="3" t="s">
        <v>192</v>
      </c>
      <c r="G31" s="10">
        <v>45821</v>
      </c>
      <c r="H31" s="3">
        <v>9</v>
      </c>
      <c r="I31" s="8">
        <f>IF(ISBLANK(Table4[[#This Row],[Sales ID]]),"",_xlfn.XLOOKUP(Table4[[#This Row],[Sales ID]],Inventory[Invent ID],Inventory[Available_Stock]))</f>
        <v>0</v>
      </c>
      <c r="J31" s="9">
        <v>5.56</v>
      </c>
      <c r="K31" s="9">
        <f>IFERROR(Table4[[#This Row],[Unit_Price]]*Table4[[#This Row],[Unit_sold]],"")</f>
        <v>50.04</v>
      </c>
      <c r="L31" s="8" t="str">
        <f>IF(ISBLANK(Table4[[#This Row],[Sales ID]]),"",TEXT(Table4[[#This Row],[Date]],"mmm"))</f>
        <v>jun</v>
      </c>
    </row>
    <row r="32" spans="4:12" x14ac:dyDescent="0.3">
      <c r="D32" s="3" t="s">
        <v>26</v>
      </c>
      <c r="E32" s="8" t="str">
        <f>IF(ISBLANK(Table4[[#This Row],[Sales ID]]),"",_xlfn.XLOOKUP(Table4[[#This Row],[Sales ID]],Inventory[Invent ID],Inventory[Product_Name]))</f>
        <v>Kitchen Hanger</v>
      </c>
      <c r="F32" s="3" t="s">
        <v>193</v>
      </c>
      <c r="G32" s="10">
        <v>45822</v>
      </c>
      <c r="H32" s="3">
        <v>5</v>
      </c>
      <c r="I32" s="8">
        <f>IF(ISBLANK(Table4[[#This Row],[Sales ID]]),"",_xlfn.XLOOKUP(Table4[[#This Row],[Sales ID]],Inventory[Invent ID],Inventory[Available_Stock]))</f>
        <v>20</v>
      </c>
      <c r="J32" s="9">
        <v>7.13</v>
      </c>
      <c r="K32" s="9">
        <f>IFERROR(Table4[[#This Row],[Unit_Price]]*Table4[[#This Row],[Unit_sold]],"")</f>
        <v>35.65</v>
      </c>
      <c r="L32" s="8" t="str">
        <f>IF(ISBLANK(Table4[[#This Row],[Sales ID]]),"",TEXT(Table4[[#This Row],[Date]],"mmm"))</f>
        <v>jun</v>
      </c>
    </row>
    <row r="33" spans="4:12" x14ac:dyDescent="0.3">
      <c r="D33" s="3" t="s">
        <v>16</v>
      </c>
      <c r="E33" s="8" t="str">
        <f>IF(ISBLANK(Table4[[#This Row],[Sales ID]]),"",_xlfn.XLOOKUP(Table4[[#This Row],[Sales ID]],Inventory[Invent ID],Inventory[Product_Name]))</f>
        <v>Seafood</v>
      </c>
      <c r="F33" s="3" t="s">
        <v>194</v>
      </c>
      <c r="G33" s="10">
        <v>45823</v>
      </c>
      <c r="H33" s="3">
        <v>150</v>
      </c>
      <c r="I33" s="8">
        <f>IF(ISBLANK(Table4[[#This Row],[Sales ID]]),"",_xlfn.XLOOKUP(Table4[[#This Row],[Sales ID]],Inventory[Invent ID],Inventory[Available_Stock]))</f>
        <v>25</v>
      </c>
      <c r="J33" s="9">
        <v>8.0399999999999991</v>
      </c>
      <c r="K33" s="9">
        <f>IFERROR(Table4[[#This Row],[Unit_Price]]*Table4[[#This Row],[Unit_sold]],"")</f>
        <v>1205.9999999999998</v>
      </c>
      <c r="L33" s="8" t="str">
        <f>IF(ISBLANK(Table4[[#This Row],[Sales ID]]),"",TEXT(Table4[[#This Row],[Date]],"mmm"))</f>
        <v>jun</v>
      </c>
    </row>
    <row r="34" spans="4:12" x14ac:dyDescent="0.3">
      <c r="D34" s="3" t="s">
        <v>16</v>
      </c>
      <c r="E34" s="8" t="str">
        <f>IF(ISBLANK(Table4[[#This Row],[Sales ID]]),"",_xlfn.XLOOKUP(Table4[[#This Row],[Sales ID]],Inventory[Invent ID],Inventory[Product_Name]))</f>
        <v>Seafood</v>
      </c>
      <c r="F34" s="3" t="s">
        <v>195</v>
      </c>
      <c r="G34" s="10">
        <v>45824</v>
      </c>
      <c r="H34" s="3">
        <v>50</v>
      </c>
      <c r="I34" s="8">
        <f>IF(ISBLANK(Table4[[#This Row],[Sales ID]]),"",_xlfn.XLOOKUP(Table4[[#This Row],[Sales ID]],Inventory[Invent ID],Inventory[Available_Stock]))</f>
        <v>25</v>
      </c>
      <c r="J34" s="9">
        <v>8.0399999999999991</v>
      </c>
      <c r="K34" s="9">
        <f>IFERROR(Table4[[#This Row],[Unit_Price]]*Table4[[#This Row],[Unit_sold]],"")</f>
        <v>401.99999999999994</v>
      </c>
      <c r="L34" s="8" t="str">
        <f>IF(ISBLANK(Table4[[#This Row],[Sales ID]]),"",TEXT(Table4[[#This Row],[Date]],"mmm"))</f>
        <v>jun</v>
      </c>
    </row>
    <row r="35" spans="4:12" x14ac:dyDescent="0.3">
      <c r="D35" s="3" t="s">
        <v>16</v>
      </c>
      <c r="E35" s="8" t="str">
        <f>IF(ISBLANK(Table4[[#This Row],[Sales ID]]),"",_xlfn.XLOOKUP(Table4[[#This Row],[Sales ID]],Inventory[Invent ID],Inventory[Product_Name]))</f>
        <v>Seafood</v>
      </c>
      <c r="F35" s="3" t="s">
        <v>196</v>
      </c>
      <c r="G35" s="10">
        <v>45825</v>
      </c>
      <c r="H35" s="3">
        <v>50</v>
      </c>
      <c r="I35" s="8">
        <f>IF(ISBLANK(Table4[[#This Row],[Sales ID]]),"",_xlfn.XLOOKUP(Table4[[#This Row],[Sales ID]],Inventory[Invent ID],Inventory[Available_Stock]))</f>
        <v>25</v>
      </c>
      <c r="J35" s="9">
        <v>8.0399999999999991</v>
      </c>
      <c r="K35" s="9">
        <f>IFERROR(Table4[[#This Row],[Unit_Price]]*Table4[[#This Row],[Unit_sold]],"")</f>
        <v>401.99999999999994</v>
      </c>
      <c r="L35" s="8" t="str">
        <f>IF(ISBLANK(Table4[[#This Row],[Sales ID]]),"",TEXT(Table4[[#This Row],[Date]],"mmm"))</f>
        <v>jun</v>
      </c>
    </row>
    <row r="36" spans="4:12" x14ac:dyDescent="0.3">
      <c r="D36" s="3" t="s">
        <v>16</v>
      </c>
      <c r="E36" s="8" t="str">
        <f>IF(ISBLANK(Table4[[#This Row],[Sales ID]]),"",_xlfn.XLOOKUP(Table4[[#This Row],[Sales ID]],Inventory[Invent ID],Inventory[Product_Name]))</f>
        <v>Seafood</v>
      </c>
      <c r="F36" s="3" t="s">
        <v>197</v>
      </c>
      <c r="G36" s="10">
        <v>45826</v>
      </c>
      <c r="H36" s="3">
        <v>25</v>
      </c>
      <c r="I36" s="8">
        <f>IF(ISBLANK(Table4[[#This Row],[Sales ID]]),"",_xlfn.XLOOKUP(Table4[[#This Row],[Sales ID]],Inventory[Invent ID],Inventory[Available_Stock]))</f>
        <v>25</v>
      </c>
      <c r="J36" s="9">
        <v>8.0399999999999991</v>
      </c>
      <c r="K36" s="9">
        <f>IFERROR(Table4[[#This Row],[Unit_Price]]*Table4[[#This Row],[Unit_sold]],"")</f>
        <v>200.99999999999997</v>
      </c>
      <c r="L36" s="8" t="str">
        <f>IF(ISBLANK(Table4[[#This Row],[Sales ID]]),"",TEXT(Table4[[#This Row],[Date]],"mmm"))</f>
        <v>jun</v>
      </c>
    </row>
    <row r="37" spans="4:12" x14ac:dyDescent="0.3">
      <c r="E37" s="8" t="str">
        <f>IF(ISBLANK(Table4[[#This Row],[Sales ID]]),"",_xlfn.XLOOKUP(Table4[[#This Row],[Sales ID]],Inventory[Invent ID],Inventory[Product_Name]))</f>
        <v/>
      </c>
      <c r="I37" s="8" t="str">
        <f>IF(ISBLANK(Table4[[#This Row],[Sales ID]]),"",_xlfn.XLOOKUP(Table4[[#This Row],[Sales ID]],Inventory[Invent ID],Inventory[Available_Stock]))</f>
        <v/>
      </c>
      <c r="J37" s="9"/>
      <c r="K37" s="9">
        <f>IFERROR(Table4[[#This Row],[Unit_Price]]*Table4[[#This Row],[Unit_sold]],"")</f>
        <v>0</v>
      </c>
      <c r="L37" s="8" t="str">
        <f>IF(ISBLANK(Table4[[#This Row],[Sales ID]]),"",TEXT(Table4[[#This Row],[Date]],"mmm"))</f>
        <v/>
      </c>
    </row>
  </sheetData>
  <phoneticPr fontId="1" type="noConversion"/>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0CF43B8-B642-4487-80D5-8AD17453DF04}">
          <x14:formula1>
            <xm:f>Inventory!$D$7:$D$27</xm:f>
          </x14:formula1>
          <xm:sqref>D7:D37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2F7E-2439-4B9D-9546-513ABC545F49}">
  <dimension ref="A1:K26"/>
  <sheetViews>
    <sheetView tabSelected="1" workbookViewId="0"/>
  </sheetViews>
  <sheetFormatPr defaultRowHeight="14.4" x14ac:dyDescent="0.3"/>
  <cols>
    <col min="1" max="1" width="4.6640625" style="1" customWidth="1"/>
    <col min="2" max="2" width="26" style="2" customWidth="1"/>
    <col min="3" max="3" width="3.77734375" style="1" customWidth="1"/>
    <col min="4" max="11" width="20.33203125" style="3" customWidth="1"/>
    <col min="12" max="12" width="11.33203125" style="1" customWidth="1"/>
    <col min="13" max="16384" width="8.88671875" style="1"/>
  </cols>
  <sheetData>
    <row r="1" spans="1:11" ht="22.2" customHeight="1" x14ac:dyDescent="0.3">
      <c r="A1" s="3"/>
      <c r="B1" s="1"/>
    </row>
    <row r="7" spans="1:11" x14ac:dyDescent="0.3">
      <c r="D7" s="3" t="s">
        <v>0</v>
      </c>
      <c r="E7" s="3" t="s">
        <v>56</v>
      </c>
      <c r="F7" s="3" t="s">
        <v>76</v>
      </c>
      <c r="G7" s="3" t="s">
        <v>77</v>
      </c>
      <c r="H7" s="3" t="s">
        <v>78</v>
      </c>
      <c r="I7" s="3" t="s">
        <v>79</v>
      </c>
      <c r="J7" s="3" t="s">
        <v>80</v>
      </c>
      <c r="K7" s="3" t="s">
        <v>81</v>
      </c>
    </row>
    <row r="8" spans="1:11" x14ac:dyDescent="0.3">
      <c r="D8" s="3" t="s">
        <v>163</v>
      </c>
      <c r="E8" s="3" t="s">
        <v>129</v>
      </c>
      <c r="F8" s="3" t="s">
        <v>36</v>
      </c>
      <c r="G8" s="3" t="s">
        <v>164</v>
      </c>
      <c r="H8" s="3" t="s">
        <v>165</v>
      </c>
      <c r="I8" s="3" t="s">
        <v>166</v>
      </c>
      <c r="J8" s="3">
        <v>3</v>
      </c>
      <c r="K8" s="3">
        <v>4</v>
      </c>
    </row>
    <row r="9" spans="1:11" x14ac:dyDescent="0.3">
      <c r="D9" s="3" t="s">
        <v>82</v>
      </c>
      <c r="E9" s="3" t="s">
        <v>83</v>
      </c>
      <c r="F9" s="3" t="s">
        <v>13</v>
      </c>
      <c r="G9" s="3" t="s">
        <v>84</v>
      </c>
      <c r="H9" s="3" t="s">
        <v>85</v>
      </c>
      <c r="I9" s="3" t="s">
        <v>86</v>
      </c>
      <c r="J9" s="3">
        <v>10</v>
      </c>
      <c r="K9" s="3">
        <v>5</v>
      </c>
    </row>
    <row r="10" spans="1:11" x14ac:dyDescent="0.3">
      <c r="D10" s="3" t="s">
        <v>87</v>
      </c>
      <c r="E10" s="3" t="s">
        <v>88</v>
      </c>
      <c r="F10" s="3" t="s">
        <v>37</v>
      </c>
      <c r="G10" s="3" t="s">
        <v>89</v>
      </c>
      <c r="H10" s="3" t="s">
        <v>90</v>
      </c>
      <c r="I10" s="3" t="s">
        <v>91</v>
      </c>
      <c r="J10" s="3">
        <v>50</v>
      </c>
      <c r="K10" s="3">
        <v>5</v>
      </c>
    </row>
    <row r="11" spans="1:11" x14ac:dyDescent="0.3">
      <c r="D11" s="3" t="s">
        <v>92</v>
      </c>
      <c r="E11" s="3" t="s">
        <v>93</v>
      </c>
      <c r="F11" s="3" t="s">
        <v>17</v>
      </c>
      <c r="G11" s="3" t="s">
        <v>94</v>
      </c>
      <c r="H11" s="3" t="s">
        <v>95</v>
      </c>
      <c r="I11" s="3" t="s">
        <v>96</v>
      </c>
      <c r="J11" s="3">
        <v>43</v>
      </c>
      <c r="K11" s="3">
        <v>7</v>
      </c>
    </row>
    <row r="12" spans="1:11" x14ac:dyDescent="0.3">
      <c r="D12" s="3" t="s">
        <v>97</v>
      </c>
      <c r="E12" s="3" t="s">
        <v>98</v>
      </c>
      <c r="F12" s="3" t="s">
        <v>19</v>
      </c>
      <c r="G12" s="3" t="s">
        <v>99</v>
      </c>
      <c r="H12" s="3" t="s">
        <v>100</v>
      </c>
      <c r="I12" s="3" t="s">
        <v>101</v>
      </c>
      <c r="J12" s="3">
        <v>21</v>
      </c>
      <c r="K12" s="3">
        <v>5</v>
      </c>
    </row>
    <row r="13" spans="1:11" x14ac:dyDescent="0.3">
      <c r="D13" s="3" t="s">
        <v>102</v>
      </c>
      <c r="E13" s="3" t="s">
        <v>83</v>
      </c>
      <c r="F13" s="3" t="s">
        <v>21</v>
      </c>
      <c r="G13" s="3" t="s">
        <v>103</v>
      </c>
      <c r="H13" s="3" t="s">
        <v>104</v>
      </c>
      <c r="I13" s="3" t="s">
        <v>105</v>
      </c>
      <c r="J13" s="3">
        <v>8</v>
      </c>
      <c r="K13" s="3">
        <v>3</v>
      </c>
    </row>
    <row r="14" spans="1:11" x14ac:dyDescent="0.3">
      <c r="D14" s="3" t="s">
        <v>106</v>
      </c>
      <c r="E14" s="3" t="s">
        <v>98</v>
      </c>
      <c r="F14" s="3" t="s">
        <v>23</v>
      </c>
      <c r="G14" s="3" t="s">
        <v>107</v>
      </c>
      <c r="H14" s="3" t="s">
        <v>108</v>
      </c>
      <c r="I14" s="3" t="s">
        <v>109</v>
      </c>
      <c r="J14" s="3">
        <v>9</v>
      </c>
      <c r="K14" s="3">
        <v>4</v>
      </c>
    </row>
    <row r="15" spans="1:11" x14ac:dyDescent="0.3">
      <c r="D15" s="3" t="s">
        <v>110</v>
      </c>
      <c r="E15" s="3" t="s">
        <v>111</v>
      </c>
      <c r="F15" s="3" t="s">
        <v>15</v>
      </c>
      <c r="G15" s="3" t="s">
        <v>112</v>
      </c>
      <c r="H15" s="3" t="s">
        <v>113</v>
      </c>
      <c r="I15" s="3" t="s">
        <v>114</v>
      </c>
      <c r="J15" s="3">
        <v>12</v>
      </c>
      <c r="K15" s="3">
        <v>3</v>
      </c>
    </row>
    <row r="16" spans="1:11" x14ac:dyDescent="0.3">
      <c r="D16" s="3" t="s">
        <v>115</v>
      </c>
      <c r="E16" s="3" t="s">
        <v>116</v>
      </c>
      <c r="F16" s="3" t="s">
        <v>38</v>
      </c>
      <c r="G16" s="3" t="s">
        <v>117</v>
      </c>
      <c r="H16" s="3" t="s">
        <v>118</v>
      </c>
      <c r="I16" s="3" t="s">
        <v>119</v>
      </c>
      <c r="J16" s="3">
        <v>34</v>
      </c>
      <c r="K16" s="3">
        <v>4</v>
      </c>
    </row>
    <row r="17" spans="4:11" x14ac:dyDescent="0.3">
      <c r="D17" s="3" t="s">
        <v>120</v>
      </c>
      <c r="E17" s="3" t="s">
        <v>111</v>
      </c>
      <c r="F17" s="3" t="s">
        <v>39</v>
      </c>
      <c r="G17" s="3" t="s">
        <v>121</v>
      </c>
      <c r="H17" s="3" t="s">
        <v>122</v>
      </c>
      <c r="I17" s="3" t="s">
        <v>123</v>
      </c>
      <c r="J17" s="3">
        <v>25</v>
      </c>
      <c r="K17" s="3">
        <v>6</v>
      </c>
    </row>
    <row r="18" spans="4:11" x14ac:dyDescent="0.3">
      <c r="D18" s="3" t="s">
        <v>124</v>
      </c>
      <c r="E18" s="3" t="s">
        <v>98</v>
      </c>
      <c r="F18" s="3" t="s">
        <v>40</v>
      </c>
      <c r="G18" s="3" t="s">
        <v>125</v>
      </c>
      <c r="H18" s="3" t="s">
        <v>126</v>
      </c>
      <c r="I18" s="3" t="s">
        <v>127</v>
      </c>
      <c r="J18" s="3">
        <v>16</v>
      </c>
      <c r="K18" s="3">
        <v>6</v>
      </c>
    </row>
    <row r="19" spans="4:11" x14ac:dyDescent="0.3">
      <c r="D19" s="3" t="s">
        <v>128</v>
      </c>
      <c r="E19" s="3" t="s">
        <v>129</v>
      </c>
      <c r="F19" s="3" t="s">
        <v>41</v>
      </c>
      <c r="G19" s="3" t="s">
        <v>130</v>
      </c>
      <c r="H19" s="3" t="s">
        <v>131</v>
      </c>
      <c r="I19" s="3" t="s">
        <v>132</v>
      </c>
      <c r="J19" s="3">
        <v>17</v>
      </c>
      <c r="K19" s="3">
        <v>7</v>
      </c>
    </row>
    <row r="20" spans="4:11" x14ac:dyDescent="0.3">
      <c r="D20" s="3" t="s">
        <v>133</v>
      </c>
      <c r="E20" s="3" t="s">
        <v>134</v>
      </c>
      <c r="F20" s="3" t="s">
        <v>42</v>
      </c>
      <c r="G20" s="3" t="s">
        <v>135</v>
      </c>
      <c r="H20" s="3" t="s">
        <v>136</v>
      </c>
      <c r="I20" s="3" t="s">
        <v>137</v>
      </c>
      <c r="J20" s="3">
        <v>48</v>
      </c>
      <c r="K20" s="3">
        <v>5</v>
      </c>
    </row>
    <row r="21" spans="4:11" x14ac:dyDescent="0.3">
      <c r="D21" s="3" t="s">
        <v>138</v>
      </c>
      <c r="E21" s="3" t="s">
        <v>83</v>
      </c>
      <c r="F21" s="3" t="s">
        <v>43</v>
      </c>
      <c r="G21" s="3" t="s">
        <v>139</v>
      </c>
      <c r="H21" s="3" t="s">
        <v>140</v>
      </c>
      <c r="I21" s="3" t="s">
        <v>141</v>
      </c>
      <c r="J21" s="3">
        <v>19</v>
      </c>
      <c r="K21" s="3">
        <v>4</v>
      </c>
    </row>
    <row r="22" spans="4:11" x14ac:dyDescent="0.3">
      <c r="D22" s="3" t="s">
        <v>142</v>
      </c>
      <c r="E22" s="3" t="s">
        <v>143</v>
      </c>
      <c r="F22" s="3" t="s">
        <v>44</v>
      </c>
      <c r="G22" s="3" t="s">
        <v>144</v>
      </c>
      <c r="H22" s="3" t="s">
        <v>145</v>
      </c>
      <c r="I22" s="3" t="s">
        <v>146</v>
      </c>
      <c r="J22" s="3">
        <v>37</v>
      </c>
      <c r="K22" s="3">
        <v>1</v>
      </c>
    </row>
    <row r="23" spans="4:11" x14ac:dyDescent="0.3">
      <c r="D23" s="3" t="s">
        <v>147</v>
      </c>
      <c r="E23" s="3" t="s">
        <v>111</v>
      </c>
      <c r="F23" s="3" t="s">
        <v>45</v>
      </c>
      <c r="G23" s="3" t="s">
        <v>148</v>
      </c>
      <c r="H23" s="3" t="s">
        <v>149</v>
      </c>
      <c r="I23" s="3" t="s">
        <v>150</v>
      </c>
      <c r="J23" s="3">
        <v>29</v>
      </c>
      <c r="K23" s="3">
        <v>3</v>
      </c>
    </row>
    <row r="24" spans="4:11" x14ac:dyDescent="0.3">
      <c r="D24" s="3" t="s">
        <v>151</v>
      </c>
      <c r="E24" s="3" t="s">
        <v>83</v>
      </c>
      <c r="F24" s="3" t="s">
        <v>46</v>
      </c>
      <c r="G24" s="3" t="s">
        <v>152</v>
      </c>
      <c r="H24" s="3" t="s">
        <v>153</v>
      </c>
      <c r="I24" s="3" t="s">
        <v>154</v>
      </c>
      <c r="J24" s="3">
        <v>56</v>
      </c>
      <c r="K24" s="3">
        <v>3</v>
      </c>
    </row>
    <row r="25" spans="4:11" x14ac:dyDescent="0.3">
      <c r="D25" s="3" t="s">
        <v>155</v>
      </c>
      <c r="E25" s="3" t="s">
        <v>83</v>
      </c>
      <c r="F25" s="3" t="s">
        <v>47</v>
      </c>
      <c r="G25" s="3" t="s">
        <v>156</v>
      </c>
      <c r="H25" s="3" t="s">
        <v>157</v>
      </c>
      <c r="I25" s="3" t="s">
        <v>158</v>
      </c>
      <c r="J25" s="3">
        <v>13</v>
      </c>
      <c r="K25" s="3">
        <v>4</v>
      </c>
    </row>
    <row r="26" spans="4:11" x14ac:dyDescent="0.3">
      <c r="D26" s="3" t="s">
        <v>159</v>
      </c>
      <c r="E26" s="3" t="s">
        <v>88</v>
      </c>
      <c r="F26" s="3" t="s">
        <v>48</v>
      </c>
      <c r="G26" s="3" t="s">
        <v>160</v>
      </c>
      <c r="H26" s="3" t="s">
        <v>161</v>
      </c>
      <c r="I26" s="3" t="s">
        <v>162</v>
      </c>
      <c r="J26" s="3">
        <v>59</v>
      </c>
      <c r="K26" s="3">
        <v>7</v>
      </c>
    </row>
  </sheetData>
  <phoneticPr fontId="1"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BB2A-F90A-46F3-83E8-CF9D59FB5A41}">
  <dimension ref="A2:F58"/>
  <sheetViews>
    <sheetView topLeftCell="A4" workbookViewId="0">
      <selection activeCell="A27" sqref="A27"/>
    </sheetView>
  </sheetViews>
  <sheetFormatPr defaultRowHeight="14.4" x14ac:dyDescent="0.3"/>
  <cols>
    <col min="1" max="1" width="12.44140625" bestFit="1" customWidth="1"/>
    <col min="2" max="2" width="16.33203125" bestFit="1" customWidth="1"/>
    <col min="3" max="3" width="12.44140625" bestFit="1" customWidth="1"/>
    <col min="4" max="4" width="16.6640625" bestFit="1" customWidth="1"/>
    <col min="5" max="5" width="12.44140625" bestFit="1" customWidth="1"/>
    <col min="6" max="6" width="16.5546875" bestFit="1" customWidth="1"/>
  </cols>
  <sheetData>
    <row r="2" spans="1:6" x14ac:dyDescent="0.3">
      <c r="A2" t="s">
        <v>174</v>
      </c>
      <c r="B2" t="s">
        <v>173</v>
      </c>
      <c r="E2" s="11" t="s">
        <v>181</v>
      </c>
      <c r="F2" t="s">
        <v>176</v>
      </c>
    </row>
    <row r="3" spans="1:6" x14ac:dyDescent="0.3">
      <c r="A3" s="12">
        <v>7609.24</v>
      </c>
      <c r="B3" s="14">
        <f>A3</f>
        <v>7609.24</v>
      </c>
      <c r="E3" s="13" t="s">
        <v>40</v>
      </c>
      <c r="F3" s="15">
        <v>286.57999999999987</v>
      </c>
    </row>
    <row r="4" spans="1:6" x14ac:dyDescent="0.3">
      <c r="E4" s="13" t="s">
        <v>23</v>
      </c>
      <c r="F4" s="15">
        <v>188.02</v>
      </c>
    </row>
    <row r="5" spans="1:6" x14ac:dyDescent="0.3">
      <c r="E5" s="13" t="s">
        <v>17</v>
      </c>
      <c r="F5">
        <v>157.49999999999983</v>
      </c>
    </row>
    <row r="6" spans="1:6" x14ac:dyDescent="0.3">
      <c r="A6" t="s">
        <v>176</v>
      </c>
      <c r="B6" t="s">
        <v>175</v>
      </c>
      <c r="E6" s="13" t="s">
        <v>21</v>
      </c>
      <c r="F6">
        <v>154.04999999999995</v>
      </c>
    </row>
    <row r="7" spans="1:6" x14ac:dyDescent="0.3">
      <c r="A7" s="12">
        <v>1623.35</v>
      </c>
      <c r="B7" s="14">
        <f>A7</f>
        <v>1623.35</v>
      </c>
      <c r="E7" s="13" t="s">
        <v>45</v>
      </c>
      <c r="F7" s="15">
        <v>135.16000000000003</v>
      </c>
    </row>
    <row r="8" spans="1:6" x14ac:dyDescent="0.3">
      <c r="E8" s="13" t="s">
        <v>182</v>
      </c>
      <c r="F8">
        <v>921.30999999999972</v>
      </c>
    </row>
    <row r="10" spans="1:6" x14ac:dyDescent="0.3">
      <c r="A10" t="s">
        <v>177</v>
      </c>
      <c r="B10" t="s">
        <v>178</v>
      </c>
    </row>
    <row r="11" spans="1:6" x14ac:dyDescent="0.3">
      <c r="A11">
        <v>19</v>
      </c>
      <c r="B11">
        <f>A11</f>
        <v>19</v>
      </c>
    </row>
    <row r="13" spans="1:6" x14ac:dyDescent="0.3">
      <c r="C13" t="s">
        <v>167</v>
      </c>
    </row>
    <row r="14" spans="1:6" x14ac:dyDescent="0.3">
      <c r="A14" t="s">
        <v>180</v>
      </c>
      <c r="B14" t="s">
        <v>179</v>
      </c>
    </row>
    <row r="15" spans="1:6" x14ac:dyDescent="0.3">
      <c r="A15">
        <v>1020</v>
      </c>
      <c r="B15">
        <f>A15</f>
        <v>1020</v>
      </c>
    </row>
    <row r="20" spans="1:4" x14ac:dyDescent="0.3">
      <c r="A20" s="11" t="s">
        <v>181</v>
      </c>
      <c r="B20" t="s">
        <v>183</v>
      </c>
    </row>
    <row r="21" spans="1:4" x14ac:dyDescent="0.3">
      <c r="A21" s="13" t="s">
        <v>169</v>
      </c>
      <c r="B21" s="15">
        <v>7327.2100000000009</v>
      </c>
    </row>
    <row r="22" spans="1:4" x14ac:dyDescent="0.3">
      <c r="A22" s="13" t="s">
        <v>170</v>
      </c>
      <c r="B22" s="15">
        <v>3234.6000000000004</v>
      </c>
    </row>
    <row r="23" spans="1:4" x14ac:dyDescent="0.3">
      <c r="A23" s="13" t="s">
        <v>168</v>
      </c>
      <c r="B23" s="15">
        <v>3180.34</v>
      </c>
    </row>
    <row r="24" spans="1:4" x14ac:dyDescent="0.3">
      <c r="A24" s="13" t="s">
        <v>171</v>
      </c>
      <c r="B24" s="15">
        <v>1085.68</v>
      </c>
    </row>
    <row r="25" spans="1:4" x14ac:dyDescent="0.3">
      <c r="A25" s="13" t="s">
        <v>191</v>
      </c>
      <c r="B25" s="15">
        <v>464.25000000000006</v>
      </c>
      <c r="C25" s="11" t="s">
        <v>181</v>
      </c>
      <c r="D25" t="s">
        <v>183</v>
      </c>
    </row>
    <row r="26" spans="1:4" x14ac:dyDescent="0.3">
      <c r="A26" s="13" t="s">
        <v>182</v>
      </c>
      <c r="B26">
        <v>15292.080000000002</v>
      </c>
      <c r="C26" s="13" t="s">
        <v>169</v>
      </c>
      <c r="D26">
        <v>7327.2100000000009</v>
      </c>
    </row>
    <row r="27" spans="1:4" x14ac:dyDescent="0.3">
      <c r="A27" t="s">
        <v>183</v>
      </c>
      <c r="B27" t="s">
        <v>186</v>
      </c>
      <c r="C27" s="13" t="s">
        <v>170</v>
      </c>
      <c r="D27">
        <v>3234.6000000000004</v>
      </c>
    </row>
    <row r="28" spans="1:4" x14ac:dyDescent="0.3">
      <c r="A28">
        <v>15292.079999999998</v>
      </c>
      <c r="B28" s="14">
        <f>A28</f>
        <v>15292.079999999998</v>
      </c>
      <c r="C28" s="13" t="s">
        <v>168</v>
      </c>
      <c r="D28">
        <v>3180.34</v>
      </c>
    </row>
    <row r="29" spans="1:4" x14ac:dyDescent="0.3">
      <c r="C29" s="13" t="s">
        <v>171</v>
      </c>
      <c r="D29">
        <v>1085.68</v>
      </c>
    </row>
    <row r="30" spans="1:4" x14ac:dyDescent="0.3">
      <c r="C30" s="13" t="s">
        <v>191</v>
      </c>
      <c r="D30">
        <v>464.25000000000006</v>
      </c>
    </row>
    <row r="31" spans="1:4" x14ac:dyDescent="0.3">
      <c r="C31" s="13" t="s">
        <v>182</v>
      </c>
      <c r="D31">
        <v>15292.080000000002</v>
      </c>
    </row>
    <row r="32" spans="1:4" x14ac:dyDescent="0.3">
      <c r="A32" s="11" t="s">
        <v>181</v>
      </c>
      <c r="B32" t="s">
        <v>184</v>
      </c>
    </row>
    <row r="33" spans="1:2" x14ac:dyDescent="0.3">
      <c r="A33" s="13" t="s">
        <v>170</v>
      </c>
      <c r="B33" s="15">
        <v>5078.6900000000005</v>
      </c>
    </row>
    <row r="34" spans="1:2" x14ac:dyDescent="0.3">
      <c r="A34" s="13" t="s">
        <v>169</v>
      </c>
      <c r="B34" s="15">
        <v>3183.8399999999997</v>
      </c>
    </row>
    <row r="35" spans="1:2" x14ac:dyDescent="0.3">
      <c r="A35" s="13" t="s">
        <v>191</v>
      </c>
      <c r="B35" s="15">
        <v>1978.0399999999997</v>
      </c>
    </row>
    <row r="36" spans="1:2" x14ac:dyDescent="0.3">
      <c r="A36" s="13" t="s">
        <v>171</v>
      </c>
      <c r="B36" s="15">
        <v>1585.2</v>
      </c>
    </row>
    <row r="37" spans="1:2" x14ac:dyDescent="0.3">
      <c r="A37" s="13"/>
      <c r="B37" s="15"/>
    </row>
    <row r="38" spans="1:2" x14ac:dyDescent="0.3">
      <c r="A38" s="13" t="s">
        <v>182</v>
      </c>
      <c r="B38">
        <v>11825.769999999999</v>
      </c>
    </row>
    <row r="44" spans="1:2" x14ac:dyDescent="0.3">
      <c r="A44" s="11" t="s">
        <v>181</v>
      </c>
      <c r="B44" t="s">
        <v>185</v>
      </c>
    </row>
    <row r="45" spans="1:2" x14ac:dyDescent="0.3">
      <c r="A45" s="13" t="s">
        <v>83</v>
      </c>
      <c r="B45">
        <v>5</v>
      </c>
    </row>
    <row r="46" spans="1:2" x14ac:dyDescent="0.3">
      <c r="A46" s="13" t="s">
        <v>111</v>
      </c>
      <c r="B46">
        <v>3</v>
      </c>
    </row>
    <row r="47" spans="1:2" x14ac:dyDescent="0.3">
      <c r="A47" s="13" t="s">
        <v>98</v>
      </c>
      <c r="B47">
        <v>3</v>
      </c>
    </row>
    <row r="48" spans="1:2" x14ac:dyDescent="0.3">
      <c r="A48" s="13" t="s">
        <v>129</v>
      </c>
      <c r="B48">
        <v>2</v>
      </c>
    </row>
    <row r="49" spans="1:2" x14ac:dyDescent="0.3">
      <c r="A49" s="13" t="s">
        <v>88</v>
      </c>
      <c r="B49">
        <v>2</v>
      </c>
    </row>
    <row r="50" spans="1:2" x14ac:dyDescent="0.3">
      <c r="A50" s="13" t="s">
        <v>182</v>
      </c>
      <c r="B50">
        <v>15</v>
      </c>
    </row>
    <row r="57" spans="1:2" x14ac:dyDescent="0.3">
      <c r="A57" t="s">
        <v>184</v>
      </c>
      <c r="B57" t="s">
        <v>187</v>
      </c>
    </row>
    <row r="58" spans="1:2" x14ac:dyDescent="0.3">
      <c r="A58">
        <v>11825.770000000002</v>
      </c>
      <c r="B58" s="14">
        <f>A58</f>
        <v>11825.770000000002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Inventory</vt:lpstr>
      <vt:lpstr>Purchase</vt:lpstr>
      <vt:lpstr>Sales</vt:lpstr>
      <vt:lpstr>Suppliers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Malaika Fagette</dc:creator>
  <cp:lastModifiedBy>Malaika Fagette</cp:lastModifiedBy>
  <dcterms:created xsi:type="dcterms:W3CDTF">2026-06-28T13:30:33Z</dcterms:created>
  <dcterms:modified xsi:type="dcterms:W3CDTF">2026-07-07T23:44:29Z</dcterms:modified>
</cp:coreProperties>
</file>